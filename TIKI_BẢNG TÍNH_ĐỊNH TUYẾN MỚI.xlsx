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D:\GHN Ex\Bảng giá KA\"/>
    </mc:Choice>
  </mc:AlternateContent>
  <xr:revisionPtr revIDLastSave="0" documentId="13_ncr:1_{7AEE0247-7C6E-49AC-A034-9C38D17F0D75}" xr6:coauthVersionLast="47" xr6:coauthVersionMax="47" xr10:uidLastSave="{00000000-0000-0000-0000-000000000000}"/>
  <bookViews>
    <workbookView showHorizontalScroll="0" showVerticalScroll="0" xWindow="-110" yWindow="-110" windowWidth="19420" windowHeight="10300" tabRatio="620" xr2:uid="{00000000-000D-0000-FFFF-FFFF00000000}"/>
  </bookViews>
  <sheets>
    <sheet name="AUGUST" sheetId="388" r:id="rId1"/>
    <sheet name="Bảng giá " sheetId="383" r:id="rId2"/>
    <sheet name="check" sheetId="390" r:id="rId3"/>
    <sheet name="mapping 1" sheetId="389" r:id="rId4"/>
    <sheet name="Sheet1" sheetId="381" state="hidden" r:id="rId5"/>
  </sheets>
  <definedNames>
    <definedName name="_xlnm._FilterDatabase" localSheetId="0" hidden="1">AUGUST!$A$2:$BB$4</definedName>
    <definedName name="_xlnm._FilterDatabase" localSheetId="1" hidden="1">'Bảng giá '!$A$1:$AE$775</definedName>
    <definedName name="_xlnm._FilterDatabase" localSheetId="3" hidden="1">'mapping 1'!$A$1:$G$731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7" i="388" l="1"/>
  <c r="AN6" i="388" a="1"/>
  <c r="AN6" i="388" s="1"/>
  <c r="AN8" i="388"/>
  <c r="AO1" i="388"/>
  <c r="AP1" i="388"/>
  <c r="AQ1" i="388"/>
  <c r="AR1" i="388"/>
  <c r="AS1" i="388"/>
  <c r="AT1" i="388"/>
  <c r="AU1" i="388"/>
  <c r="AM1" i="388"/>
  <c r="A1" i="388"/>
  <c r="AL1" i="388" l="1"/>
  <c r="I3" i="388" l="1"/>
  <c r="BA3" i="388" s="1"/>
  <c r="BB3" i="388" s="1"/>
  <c r="AN1" i="388" l="1"/>
  <c r="I4" i="388"/>
  <c r="BA4" i="388" s="1"/>
  <c r="BB4" i="388" s="1"/>
  <c r="AK4" i="388" l="1"/>
  <c r="AL4" i="388" s="1"/>
  <c r="AN4" i="388" s="1"/>
  <c r="AO4" i="388" l="1"/>
  <c r="AO6" i="388"/>
  <c r="F3" i="388"/>
  <c r="G3" i="388" s="1"/>
  <c r="R3" i="388"/>
  <c r="W3" i="388" s="1"/>
  <c r="Z3" i="388"/>
  <c r="AA3" i="388"/>
  <c r="AB3" i="388"/>
  <c r="AC3" i="388"/>
  <c r="AD3" i="388"/>
  <c r="AK3" i="388"/>
  <c r="AL3" i="388" s="1"/>
  <c r="F4" i="388"/>
  <c r="G4" i="388" s="1"/>
  <c r="R4" i="388"/>
  <c r="V4" i="388" s="1"/>
  <c r="Z4" i="388"/>
  <c r="AA4" i="388"/>
  <c r="AB4" i="388"/>
  <c r="AC4" i="388"/>
  <c r="AD4" i="388"/>
  <c r="AR3" i="388" l="1"/>
  <c r="V3" i="388"/>
  <c r="U3" i="388"/>
  <c r="T3" i="388"/>
  <c r="W4" i="388"/>
  <c r="AR4" i="388" s="1"/>
  <c r="S4" i="388"/>
  <c r="T4" i="388"/>
  <c r="U4" i="388"/>
  <c r="S3" i="388"/>
  <c r="AE3" i="388" s="1"/>
  <c r="AE4" i="388" l="1"/>
  <c r="AF3" i="388"/>
  <c r="AQ4" i="388" l="1"/>
  <c r="AS4" i="388" s="1"/>
  <c r="AT4" i="388" s="1"/>
  <c r="AU4" i="388" s="1"/>
  <c r="AO3" i="388"/>
  <c r="AQ3" i="388" l="1"/>
  <c r="AS3" i="388" l="1"/>
  <c r="AT3" i="388" s="1"/>
  <c r="AU3" i="388" l="1"/>
  <c r="F89" i="389" l="1"/>
  <c r="C89" i="389"/>
  <c r="F385" i="389"/>
  <c r="C385" i="389"/>
  <c r="C201" i="389"/>
  <c r="C20" i="389" l="1"/>
  <c r="C21" i="389"/>
  <c r="F731" i="389"/>
  <c r="C731" i="389"/>
  <c r="F730" i="389"/>
  <c r="C730" i="389"/>
  <c r="C3" i="389"/>
  <c r="C4" i="389"/>
  <c r="C5" i="389"/>
  <c r="C6" i="389"/>
  <c r="C7" i="389"/>
  <c r="C8" i="389"/>
  <c r="C9" i="389"/>
  <c r="C10" i="389"/>
  <c r="C11" i="389"/>
  <c r="C12" i="389"/>
  <c r="C13" i="389"/>
  <c r="C14" i="389"/>
  <c r="C15" i="389"/>
  <c r="C16" i="389"/>
  <c r="C17" i="389"/>
  <c r="C18" i="389"/>
  <c r="C19" i="389"/>
  <c r="C22" i="389"/>
  <c r="C23" i="389"/>
  <c r="C24" i="389"/>
  <c r="C25" i="389"/>
  <c r="C26" i="389"/>
  <c r="C27" i="389"/>
  <c r="C28" i="389"/>
  <c r="C29" i="389"/>
  <c r="C30" i="389"/>
  <c r="C31" i="389"/>
  <c r="C32" i="389"/>
  <c r="C33" i="389"/>
  <c r="C34" i="389"/>
  <c r="C35" i="389"/>
  <c r="C36" i="389"/>
  <c r="C37" i="389"/>
  <c r="C38" i="389"/>
  <c r="C39" i="389"/>
  <c r="C40" i="389"/>
  <c r="C41" i="389"/>
  <c r="C42" i="389"/>
  <c r="C43" i="389"/>
  <c r="C44" i="389"/>
  <c r="C45" i="389"/>
  <c r="C46" i="389"/>
  <c r="C47" i="389"/>
  <c r="C48" i="389"/>
  <c r="C49" i="389"/>
  <c r="C50" i="389"/>
  <c r="C51" i="389"/>
  <c r="C52" i="389"/>
  <c r="C53" i="389"/>
  <c r="C54" i="389"/>
  <c r="C55" i="389"/>
  <c r="C56" i="389"/>
  <c r="C57" i="389"/>
  <c r="C58" i="389"/>
  <c r="C59" i="389"/>
  <c r="C60" i="389"/>
  <c r="C61" i="389"/>
  <c r="C62" i="389"/>
  <c r="C63" i="389"/>
  <c r="C64" i="389"/>
  <c r="C65" i="389"/>
  <c r="C66" i="389"/>
  <c r="C67" i="389"/>
  <c r="C68" i="389"/>
  <c r="C69" i="389"/>
  <c r="C70" i="389"/>
  <c r="C71" i="389"/>
  <c r="C72" i="389"/>
  <c r="C73" i="389"/>
  <c r="C74" i="389"/>
  <c r="C75" i="389"/>
  <c r="C76" i="389"/>
  <c r="C77" i="389"/>
  <c r="C78" i="389"/>
  <c r="C79" i="389"/>
  <c r="C80" i="389"/>
  <c r="C81" i="389"/>
  <c r="C82" i="389"/>
  <c r="C83" i="389"/>
  <c r="C84" i="389"/>
  <c r="C85" i="389"/>
  <c r="C86" i="389"/>
  <c r="C87" i="389"/>
  <c r="C88" i="389"/>
  <c r="C90" i="389"/>
  <c r="C91" i="389"/>
  <c r="C92" i="389"/>
  <c r="C93" i="389"/>
  <c r="C94" i="389"/>
  <c r="C95" i="389"/>
  <c r="C96" i="389"/>
  <c r="C97" i="389"/>
  <c r="C98" i="389"/>
  <c r="C99" i="389"/>
  <c r="C100" i="389"/>
  <c r="C101" i="389"/>
  <c r="C102" i="389"/>
  <c r="C103" i="389"/>
  <c r="C104" i="389"/>
  <c r="C105" i="389"/>
  <c r="C106" i="389"/>
  <c r="C107" i="389"/>
  <c r="C108" i="389"/>
  <c r="C109" i="389"/>
  <c r="C110" i="389"/>
  <c r="C111" i="389"/>
  <c r="C112" i="389"/>
  <c r="C113" i="389"/>
  <c r="C114" i="389"/>
  <c r="C115" i="389"/>
  <c r="C116" i="389"/>
  <c r="C117" i="389"/>
  <c r="C118" i="389"/>
  <c r="C119" i="389"/>
  <c r="C120" i="389"/>
  <c r="C121" i="389"/>
  <c r="C122" i="389"/>
  <c r="C123" i="389"/>
  <c r="C124" i="389"/>
  <c r="C125" i="389"/>
  <c r="C126" i="389"/>
  <c r="C127" i="389"/>
  <c r="C128" i="389"/>
  <c r="C129" i="389"/>
  <c r="C130" i="389"/>
  <c r="C131" i="389"/>
  <c r="C132" i="389"/>
  <c r="C133" i="389"/>
  <c r="C134" i="389"/>
  <c r="C135" i="389"/>
  <c r="C136" i="389"/>
  <c r="C137" i="389"/>
  <c r="C138" i="389"/>
  <c r="C139" i="389"/>
  <c r="C140" i="389"/>
  <c r="C141" i="389"/>
  <c r="C142" i="389"/>
  <c r="C143" i="389"/>
  <c r="C144" i="389"/>
  <c r="C145" i="389"/>
  <c r="C146" i="389"/>
  <c r="C147" i="389"/>
  <c r="C148" i="389"/>
  <c r="C149" i="389"/>
  <c r="C150" i="389"/>
  <c r="C151" i="389"/>
  <c r="C152" i="389"/>
  <c r="C153" i="389"/>
  <c r="C154" i="389"/>
  <c r="C155" i="389"/>
  <c r="C156" i="389"/>
  <c r="C157" i="389"/>
  <c r="C158" i="389"/>
  <c r="C159" i="389"/>
  <c r="C160" i="389"/>
  <c r="C161" i="389"/>
  <c r="C162" i="389"/>
  <c r="C163" i="389"/>
  <c r="C164" i="389"/>
  <c r="C165" i="389"/>
  <c r="C166" i="389"/>
  <c r="C167" i="389"/>
  <c r="C168" i="389"/>
  <c r="C169" i="389"/>
  <c r="C170" i="389"/>
  <c r="C171" i="389"/>
  <c r="C172" i="389"/>
  <c r="C173" i="389"/>
  <c r="C174" i="389"/>
  <c r="C175" i="389"/>
  <c r="C176" i="389"/>
  <c r="C177" i="389"/>
  <c r="C178" i="389"/>
  <c r="C179" i="389"/>
  <c r="C180" i="389"/>
  <c r="C181" i="389"/>
  <c r="C182" i="389"/>
  <c r="C183" i="389"/>
  <c r="C184" i="389"/>
  <c r="C185" i="389"/>
  <c r="C186" i="389"/>
  <c r="C187" i="389"/>
  <c r="C188" i="389"/>
  <c r="C189" i="389"/>
  <c r="C190" i="389"/>
  <c r="C191" i="389"/>
  <c r="C192" i="389"/>
  <c r="C193" i="389"/>
  <c r="C194" i="389"/>
  <c r="C195" i="389"/>
  <c r="C196" i="389"/>
  <c r="C197" i="389"/>
  <c r="C198" i="389"/>
  <c r="C199" i="389"/>
  <c r="C200" i="389"/>
  <c r="C202" i="389"/>
  <c r="C203" i="389"/>
  <c r="C204" i="389"/>
  <c r="C205" i="389"/>
  <c r="C206" i="389"/>
  <c r="C207" i="389"/>
  <c r="C208" i="389"/>
  <c r="C209" i="389"/>
  <c r="C210" i="389"/>
  <c r="C211" i="389"/>
  <c r="C212" i="389"/>
  <c r="C213" i="389"/>
  <c r="C214" i="389"/>
  <c r="C215" i="389"/>
  <c r="C216" i="389"/>
  <c r="C217" i="389"/>
  <c r="C218" i="389"/>
  <c r="C219" i="389"/>
  <c r="C220" i="389"/>
  <c r="C221" i="389"/>
  <c r="C222" i="389"/>
  <c r="C223" i="389"/>
  <c r="C224" i="389"/>
  <c r="C225" i="389"/>
  <c r="C226" i="389"/>
  <c r="C227" i="389"/>
  <c r="C228" i="389"/>
  <c r="C229" i="389"/>
  <c r="C230" i="389"/>
  <c r="C231" i="389"/>
  <c r="C232" i="389"/>
  <c r="C233" i="389"/>
  <c r="C234" i="389"/>
  <c r="C235" i="389"/>
  <c r="C236" i="389"/>
  <c r="C237" i="389"/>
  <c r="C238" i="389"/>
  <c r="C239" i="389"/>
  <c r="C240" i="389"/>
  <c r="C241" i="389"/>
  <c r="C242" i="389"/>
  <c r="C243" i="389"/>
  <c r="C244" i="389"/>
  <c r="C245" i="389"/>
  <c r="C246" i="389"/>
  <c r="C247" i="389"/>
  <c r="C248" i="389"/>
  <c r="C249" i="389"/>
  <c r="C250" i="389"/>
  <c r="C251" i="389"/>
  <c r="C252" i="389"/>
  <c r="C253" i="389"/>
  <c r="C254" i="389"/>
  <c r="C255" i="389"/>
  <c r="C256" i="389"/>
  <c r="C257" i="389"/>
  <c r="C258" i="389"/>
  <c r="C259" i="389"/>
  <c r="C260" i="389"/>
  <c r="C261" i="389"/>
  <c r="C262" i="389"/>
  <c r="C263" i="389"/>
  <c r="C264" i="389"/>
  <c r="C265" i="389"/>
  <c r="C266" i="389"/>
  <c r="C267" i="389"/>
  <c r="C268" i="389"/>
  <c r="C269" i="389"/>
  <c r="C270" i="389"/>
  <c r="C271" i="389"/>
  <c r="C272" i="389"/>
  <c r="C273" i="389"/>
  <c r="C274" i="389"/>
  <c r="C275" i="389"/>
  <c r="C276" i="389"/>
  <c r="C277" i="389"/>
  <c r="C278" i="389"/>
  <c r="C279" i="389"/>
  <c r="C280" i="389"/>
  <c r="C281" i="389"/>
  <c r="C282" i="389"/>
  <c r="C283" i="389"/>
  <c r="C284" i="389"/>
  <c r="C285" i="389"/>
  <c r="C286" i="389"/>
  <c r="C287" i="389"/>
  <c r="C288" i="389"/>
  <c r="C289" i="389"/>
  <c r="C290" i="389"/>
  <c r="C291" i="389"/>
  <c r="C292" i="389"/>
  <c r="C293" i="389"/>
  <c r="C294" i="389"/>
  <c r="C295" i="389"/>
  <c r="C296" i="389"/>
  <c r="C297" i="389"/>
  <c r="C298" i="389"/>
  <c r="C299" i="389"/>
  <c r="C300" i="389"/>
  <c r="C301" i="389"/>
  <c r="C302" i="389"/>
  <c r="C303" i="389"/>
  <c r="C304" i="389"/>
  <c r="C305" i="389"/>
  <c r="C306" i="389"/>
  <c r="C307" i="389"/>
  <c r="C308" i="389"/>
  <c r="C309" i="389"/>
  <c r="C310" i="389"/>
  <c r="C311" i="389"/>
  <c r="C312" i="389"/>
  <c r="C313" i="389"/>
  <c r="C314" i="389"/>
  <c r="C315" i="389"/>
  <c r="C316" i="389"/>
  <c r="C317" i="389"/>
  <c r="C318" i="389"/>
  <c r="C319" i="389"/>
  <c r="C320" i="389"/>
  <c r="C321" i="389"/>
  <c r="C322" i="389"/>
  <c r="C323" i="389"/>
  <c r="C324" i="389"/>
  <c r="C325" i="389"/>
  <c r="C326" i="389"/>
  <c r="C327" i="389"/>
  <c r="C328" i="389"/>
  <c r="C329" i="389"/>
  <c r="C330" i="389"/>
  <c r="C331" i="389"/>
  <c r="C332" i="389"/>
  <c r="C333" i="389"/>
  <c r="C334" i="389"/>
  <c r="C335" i="389"/>
  <c r="C336" i="389"/>
  <c r="C337" i="389"/>
  <c r="C338" i="389"/>
  <c r="C339" i="389"/>
  <c r="C340" i="389"/>
  <c r="C341" i="389"/>
  <c r="C342" i="389"/>
  <c r="C343" i="389"/>
  <c r="C344" i="389"/>
  <c r="C345" i="389"/>
  <c r="C346" i="389"/>
  <c r="C347" i="389"/>
  <c r="C348" i="389"/>
  <c r="C349" i="389"/>
  <c r="C350" i="389"/>
  <c r="C351" i="389"/>
  <c r="C352" i="389"/>
  <c r="C353" i="389"/>
  <c r="C354" i="389"/>
  <c r="C355" i="389"/>
  <c r="C356" i="389"/>
  <c r="C357" i="389"/>
  <c r="C358" i="389"/>
  <c r="C359" i="389"/>
  <c r="C360" i="389"/>
  <c r="C361" i="389"/>
  <c r="C362" i="389"/>
  <c r="C363" i="389"/>
  <c r="C364" i="389"/>
  <c r="C365" i="389"/>
  <c r="C366" i="389"/>
  <c r="C367" i="389"/>
  <c r="C368" i="389"/>
  <c r="C369" i="389"/>
  <c r="C370" i="389"/>
  <c r="C371" i="389"/>
  <c r="C372" i="389"/>
  <c r="C373" i="389"/>
  <c r="C374" i="389"/>
  <c r="C375" i="389"/>
  <c r="C376" i="389"/>
  <c r="C377" i="389"/>
  <c r="C378" i="389"/>
  <c r="C379" i="389"/>
  <c r="C380" i="389"/>
  <c r="C381" i="389"/>
  <c r="C382" i="389"/>
  <c r="C383" i="389"/>
  <c r="C384" i="389"/>
  <c r="C386" i="389"/>
  <c r="C387" i="389"/>
  <c r="C388" i="389"/>
  <c r="C389" i="389"/>
  <c r="C390" i="389"/>
  <c r="C391" i="389"/>
  <c r="C392" i="389"/>
  <c r="C393" i="389"/>
  <c r="C394" i="389"/>
  <c r="C395" i="389"/>
  <c r="C396" i="389"/>
  <c r="C397" i="389"/>
  <c r="C398" i="389"/>
  <c r="C399" i="389"/>
  <c r="C400" i="389"/>
  <c r="C401" i="389"/>
  <c r="C402" i="389"/>
  <c r="C403" i="389"/>
  <c r="C404" i="389"/>
  <c r="C405" i="389"/>
  <c r="C406" i="389"/>
  <c r="C407" i="389"/>
  <c r="C408" i="389"/>
  <c r="C409" i="389"/>
  <c r="C410" i="389"/>
  <c r="C411" i="389"/>
  <c r="C412" i="389"/>
  <c r="C413" i="389"/>
  <c r="C414" i="389"/>
  <c r="C415" i="389"/>
  <c r="C416" i="389"/>
  <c r="C417" i="389"/>
  <c r="C418" i="389"/>
  <c r="C419" i="389"/>
  <c r="C420" i="389"/>
  <c r="C421" i="389"/>
  <c r="C422" i="389"/>
  <c r="C423" i="389"/>
  <c r="C424" i="389"/>
  <c r="C425" i="389"/>
  <c r="C426" i="389"/>
  <c r="C427" i="389"/>
  <c r="C428" i="389"/>
  <c r="C429" i="389"/>
  <c r="C430" i="389"/>
  <c r="C431" i="389"/>
  <c r="C432" i="389"/>
  <c r="C433" i="389"/>
  <c r="C434" i="389"/>
  <c r="C435" i="389"/>
  <c r="C436" i="389"/>
  <c r="C437" i="389"/>
  <c r="C438" i="389"/>
  <c r="C439" i="389"/>
  <c r="C440" i="389"/>
  <c r="C441" i="389"/>
  <c r="C442" i="389"/>
  <c r="C443" i="389"/>
  <c r="C444" i="389"/>
  <c r="C445" i="389"/>
  <c r="C446" i="389"/>
  <c r="C447" i="389"/>
  <c r="C448" i="389"/>
  <c r="C449" i="389"/>
  <c r="C450" i="389"/>
  <c r="C451" i="389"/>
  <c r="C452" i="389"/>
  <c r="C453" i="389"/>
  <c r="C454" i="389"/>
  <c r="C455" i="389"/>
  <c r="C456" i="389"/>
  <c r="C457" i="389"/>
  <c r="C458" i="389"/>
  <c r="C459" i="389"/>
  <c r="C460" i="389"/>
  <c r="C461" i="389"/>
  <c r="C462" i="389"/>
  <c r="C463" i="389"/>
  <c r="C464" i="389"/>
  <c r="C465" i="389"/>
  <c r="C466" i="389"/>
  <c r="C467" i="389"/>
  <c r="C468" i="389"/>
  <c r="C469" i="389"/>
  <c r="C470" i="389"/>
  <c r="C471" i="389"/>
  <c r="C472" i="389"/>
  <c r="C473" i="389"/>
  <c r="C474" i="389"/>
  <c r="C475" i="389"/>
  <c r="C476" i="389"/>
  <c r="C477" i="389"/>
  <c r="C478" i="389"/>
  <c r="C479" i="389"/>
  <c r="C480" i="389"/>
  <c r="C481" i="389"/>
  <c r="C482" i="389"/>
  <c r="C483" i="389"/>
  <c r="C484" i="389"/>
  <c r="C485" i="389"/>
  <c r="C486" i="389"/>
  <c r="C487" i="389"/>
  <c r="C488" i="389"/>
  <c r="C489" i="389"/>
  <c r="C490" i="389"/>
  <c r="C491" i="389"/>
  <c r="C492" i="389"/>
  <c r="C493" i="389"/>
  <c r="C494" i="389"/>
  <c r="C495" i="389"/>
  <c r="C496" i="389"/>
  <c r="C497" i="389"/>
  <c r="C498" i="389"/>
  <c r="C499" i="389"/>
  <c r="C500" i="389"/>
  <c r="C501" i="389"/>
  <c r="C502" i="389"/>
  <c r="C503" i="389"/>
  <c r="C504" i="389"/>
  <c r="C505" i="389"/>
  <c r="C506" i="389"/>
  <c r="C507" i="389"/>
  <c r="C508" i="389"/>
  <c r="C509" i="389"/>
  <c r="C510" i="389"/>
  <c r="C511" i="389"/>
  <c r="C512" i="389"/>
  <c r="C513" i="389"/>
  <c r="C514" i="389"/>
  <c r="C515" i="389"/>
  <c r="C516" i="389"/>
  <c r="C517" i="389"/>
  <c r="C518" i="389"/>
  <c r="C519" i="389"/>
  <c r="C520" i="389"/>
  <c r="C521" i="389"/>
  <c r="C522" i="389"/>
  <c r="C523" i="389"/>
  <c r="C524" i="389"/>
  <c r="C525" i="389"/>
  <c r="C526" i="389"/>
  <c r="C527" i="389"/>
  <c r="C528" i="389"/>
  <c r="C529" i="389"/>
  <c r="C530" i="389"/>
  <c r="C531" i="389"/>
  <c r="C532" i="389"/>
  <c r="C533" i="389"/>
  <c r="C534" i="389"/>
  <c r="C535" i="389"/>
  <c r="C536" i="389"/>
  <c r="C537" i="389"/>
  <c r="C538" i="389"/>
  <c r="C539" i="389"/>
  <c r="C540" i="389"/>
  <c r="C541" i="389"/>
  <c r="C542" i="389"/>
  <c r="C543" i="389"/>
  <c r="C544" i="389"/>
  <c r="C545" i="389"/>
  <c r="C546" i="389"/>
  <c r="C547" i="389"/>
  <c r="C548" i="389"/>
  <c r="C549" i="389"/>
  <c r="C550" i="389"/>
  <c r="C551" i="389"/>
  <c r="C552" i="389"/>
  <c r="C553" i="389"/>
  <c r="C554" i="389"/>
  <c r="C555" i="389"/>
  <c r="C556" i="389"/>
  <c r="C557" i="389"/>
  <c r="C558" i="389"/>
  <c r="C559" i="389"/>
  <c r="C560" i="389"/>
  <c r="C561" i="389"/>
  <c r="C562" i="389"/>
  <c r="C563" i="389"/>
  <c r="C564" i="389"/>
  <c r="C565" i="389"/>
  <c r="C566" i="389"/>
  <c r="C567" i="389"/>
  <c r="C568" i="389"/>
  <c r="C569" i="389"/>
  <c r="C570" i="389"/>
  <c r="C571" i="389"/>
  <c r="C572" i="389"/>
  <c r="C573" i="389"/>
  <c r="C574" i="389"/>
  <c r="C575" i="389"/>
  <c r="C576" i="389"/>
  <c r="C577" i="389"/>
  <c r="C578" i="389"/>
  <c r="C579" i="389"/>
  <c r="C580" i="389"/>
  <c r="C581" i="389"/>
  <c r="C582" i="389"/>
  <c r="C583" i="389"/>
  <c r="C584" i="389"/>
  <c r="C585" i="389"/>
  <c r="C586" i="389"/>
  <c r="C587" i="389"/>
  <c r="C588" i="389"/>
  <c r="C589" i="389"/>
  <c r="C590" i="389"/>
  <c r="C591" i="389"/>
  <c r="C592" i="389"/>
  <c r="C593" i="389"/>
  <c r="C594" i="389"/>
  <c r="C595" i="389"/>
  <c r="C596" i="389"/>
  <c r="C597" i="389"/>
  <c r="C598" i="389"/>
  <c r="C599" i="389"/>
  <c r="C600" i="389"/>
  <c r="C601" i="389"/>
  <c r="C602" i="389"/>
  <c r="C603" i="389"/>
  <c r="C604" i="389"/>
  <c r="C605" i="389"/>
  <c r="C606" i="389"/>
  <c r="C607" i="389"/>
  <c r="C608" i="389"/>
  <c r="C609" i="389"/>
  <c r="C610" i="389"/>
  <c r="C611" i="389"/>
  <c r="C612" i="389"/>
  <c r="C613" i="389"/>
  <c r="C614" i="389"/>
  <c r="C615" i="389"/>
  <c r="C616" i="389"/>
  <c r="C617" i="389"/>
  <c r="C618" i="389"/>
  <c r="C619" i="389"/>
  <c r="C620" i="389"/>
  <c r="C621" i="389"/>
  <c r="C622" i="389"/>
  <c r="C623" i="389"/>
  <c r="C624" i="389"/>
  <c r="C625" i="389"/>
  <c r="C626" i="389"/>
  <c r="C627" i="389"/>
  <c r="C628" i="389"/>
  <c r="C629" i="389"/>
  <c r="C630" i="389"/>
  <c r="C631" i="389"/>
  <c r="C632" i="389"/>
  <c r="C633" i="389"/>
  <c r="C634" i="389"/>
  <c r="C635" i="389"/>
  <c r="C636" i="389"/>
  <c r="C637" i="389"/>
  <c r="C638" i="389"/>
  <c r="C639" i="389"/>
  <c r="C640" i="389"/>
  <c r="C641" i="389"/>
  <c r="C642" i="389"/>
  <c r="C643" i="389"/>
  <c r="C644" i="389"/>
  <c r="C645" i="389"/>
  <c r="C646" i="389"/>
  <c r="C647" i="389"/>
  <c r="C648" i="389"/>
  <c r="C649" i="389"/>
  <c r="C650" i="389"/>
  <c r="C651" i="389"/>
  <c r="C652" i="389"/>
  <c r="C653" i="389"/>
  <c r="C654" i="389"/>
  <c r="C655" i="389"/>
  <c r="C656" i="389"/>
  <c r="C657" i="389"/>
  <c r="C658" i="389"/>
  <c r="C659" i="389"/>
  <c r="C660" i="389"/>
  <c r="C661" i="389"/>
  <c r="C662" i="389"/>
  <c r="C663" i="389"/>
  <c r="C664" i="389"/>
  <c r="C665" i="389"/>
  <c r="C666" i="389"/>
  <c r="C667" i="389"/>
  <c r="C668" i="389"/>
  <c r="C669" i="389"/>
  <c r="C670" i="389"/>
  <c r="C671" i="389"/>
  <c r="C672" i="389"/>
  <c r="C673" i="389"/>
  <c r="C674" i="389"/>
  <c r="C675" i="389"/>
  <c r="C676" i="389"/>
  <c r="C677" i="389"/>
  <c r="C678" i="389"/>
  <c r="C679" i="389"/>
  <c r="C680" i="389"/>
  <c r="C681" i="389"/>
  <c r="C682" i="389"/>
  <c r="C683" i="389"/>
  <c r="C684" i="389"/>
  <c r="C685" i="389"/>
  <c r="C686" i="389"/>
  <c r="C687" i="389"/>
  <c r="C688" i="389"/>
  <c r="C689" i="389"/>
  <c r="C690" i="389"/>
  <c r="C691" i="389"/>
  <c r="C692" i="389"/>
  <c r="C693" i="389"/>
  <c r="C694" i="389"/>
  <c r="C695" i="389"/>
  <c r="C696" i="389"/>
  <c r="C697" i="389"/>
  <c r="C698" i="389"/>
  <c r="C699" i="389"/>
  <c r="C700" i="389"/>
  <c r="C701" i="389"/>
  <c r="C702" i="389"/>
  <c r="C703" i="389"/>
  <c r="C704" i="389"/>
  <c r="C705" i="389"/>
  <c r="C706" i="389"/>
  <c r="C707" i="389"/>
  <c r="C708" i="389"/>
  <c r="C709" i="389"/>
  <c r="C710" i="389"/>
  <c r="C711" i="389"/>
  <c r="C712" i="389"/>
  <c r="C713" i="389"/>
  <c r="C714" i="389"/>
  <c r="C715" i="389"/>
  <c r="C716" i="389"/>
  <c r="C717" i="389"/>
  <c r="C718" i="389"/>
  <c r="C2" i="389"/>
  <c r="G89" i="389" l="1"/>
  <c r="G385" i="389"/>
  <c r="G730" i="389"/>
  <c r="G731" i="389"/>
  <c r="G713" i="389"/>
  <c r="G717" i="389"/>
  <c r="G673" i="389"/>
  <c r="G705" i="389"/>
  <c r="G545" i="389"/>
  <c r="G176" i="389"/>
  <c r="G502" i="389"/>
  <c r="G410" i="389"/>
  <c r="G345" i="389"/>
  <c r="G630" i="389"/>
  <c r="G715" i="389"/>
  <c r="G587" i="389"/>
  <c r="G701" i="389"/>
  <c r="G459" i="389"/>
  <c r="G651" i="389"/>
  <c r="G619" i="389"/>
  <c r="G555" i="389"/>
  <c r="G523" i="389"/>
  <c r="G220" i="389"/>
  <c r="G91" i="389"/>
  <c r="G683" i="389"/>
  <c r="G641" i="389"/>
  <c r="G609" i="389"/>
  <c r="G577" i="389"/>
  <c r="G513" i="389"/>
  <c r="G481" i="389"/>
  <c r="G449" i="389"/>
  <c r="G697" i="389"/>
  <c r="G677" i="389"/>
  <c r="G661" i="389"/>
  <c r="G637" i="389"/>
  <c r="G629" i="389"/>
  <c r="G613" i="389"/>
  <c r="G597" i="389"/>
  <c r="G589" i="389"/>
  <c r="G573" i="389"/>
  <c r="G565" i="389"/>
  <c r="G561" i="389"/>
  <c r="G549" i="389"/>
  <c r="G541" i="389"/>
  <c r="G537" i="389"/>
  <c r="G533" i="389"/>
  <c r="G529" i="389"/>
  <c r="G525" i="389"/>
  <c r="G521" i="389"/>
  <c r="G517" i="389"/>
  <c r="G509" i="389"/>
  <c r="G505" i="389"/>
  <c r="G501" i="389"/>
  <c r="G497" i="389"/>
  <c r="G493" i="389"/>
  <c r="G489" i="389"/>
  <c r="G485" i="389"/>
  <c r="G477" i="389"/>
  <c r="G473" i="389"/>
  <c r="G469" i="389"/>
  <c r="G465" i="389"/>
  <c r="G461" i="389"/>
  <c r="G457" i="389"/>
  <c r="G453" i="389"/>
  <c r="G445" i="389"/>
  <c r="G441" i="389"/>
  <c r="G437" i="389"/>
  <c r="G433" i="389"/>
  <c r="G429" i="389"/>
  <c r="G425" i="389"/>
  <c r="G421" i="389"/>
  <c r="G417" i="389"/>
  <c r="G413" i="389"/>
  <c r="G409" i="389"/>
  <c r="G405" i="389"/>
  <c r="G401" i="389"/>
  <c r="G397" i="389"/>
  <c r="G393" i="389"/>
  <c r="G389" i="389"/>
  <c r="G384" i="389"/>
  <c r="G380" i="389"/>
  <c r="G376" i="389"/>
  <c r="G372" i="389"/>
  <c r="G368" i="389"/>
  <c r="G364" i="389"/>
  <c r="G360" i="389"/>
  <c r="G356" i="389"/>
  <c r="G352" i="389"/>
  <c r="G348" i="389"/>
  <c r="G344" i="389"/>
  <c r="G340" i="389"/>
  <c r="G320" i="389"/>
  <c r="G308" i="389"/>
  <c r="G288" i="389"/>
  <c r="G276" i="389"/>
  <c r="G257" i="389"/>
  <c r="G245" i="389"/>
  <c r="G225" i="389"/>
  <c r="G213" i="389"/>
  <c r="G192" i="389"/>
  <c r="G180" i="389"/>
  <c r="G160" i="389"/>
  <c r="G148" i="389"/>
  <c r="G128" i="389"/>
  <c r="G116" i="389"/>
  <c r="G96" i="389"/>
  <c r="G83" i="389"/>
  <c r="G63" i="389"/>
  <c r="G51" i="389"/>
  <c r="G31" i="389"/>
  <c r="G17" i="389"/>
  <c r="G662" i="389"/>
  <c r="G534" i="389"/>
  <c r="G491" i="389"/>
  <c r="G394" i="389"/>
  <c r="G304" i="389"/>
  <c r="G133" i="389"/>
  <c r="G689" i="389"/>
  <c r="G681" i="389"/>
  <c r="G665" i="389"/>
  <c r="G653" i="389"/>
  <c r="G645" i="389"/>
  <c r="G625" i="389"/>
  <c r="G617" i="389"/>
  <c r="G601" i="389"/>
  <c r="G593" i="389"/>
  <c r="G585" i="389"/>
  <c r="G569" i="389"/>
  <c r="G557" i="389"/>
  <c r="G712" i="389"/>
  <c r="G704" i="389"/>
  <c r="G700" i="389"/>
  <c r="G688" i="389"/>
  <c r="G680" i="389"/>
  <c r="G672" i="389"/>
  <c r="G664" i="389"/>
  <c r="G656" i="389"/>
  <c r="G648" i="389"/>
  <c r="G640" i="389"/>
  <c r="G632" i="389"/>
  <c r="G624" i="389"/>
  <c r="G620" i="389"/>
  <c r="G616" i="389"/>
  <c r="G612" i="389"/>
  <c r="G604" i="389"/>
  <c r="G600" i="389"/>
  <c r="G592" i="389"/>
  <c r="G584" i="389"/>
  <c r="G576" i="389"/>
  <c r="G568" i="389"/>
  <c r="G564" i="389"/>
  <c r="G560" i="389"/>
  <c r="G556" i="389"/>
  <c r="G552" i="389"/>
  <c r="G548" i="389"/>
  <c r="G544" i="389"/>
  <c r="G540" i="389"/>
  <c r="G536" i="389"/>
  <c r="G532" i="389"/>
  <c r="G528" i="389"/>
  <c r="G524" i="389"/>
  <c r="G520" i="389"/>
  <c r="G516" i="389"/>
  <c r="G512" i="389"/>
  <c r="G508" i="389"/>
  <c r="G504" i="389"/>
  <c r="G500" i="389"/>
  <c r="G496" i="389"/>
  <c r="G492" i="389"/>
  <c r="G488" i="389"/>
  <c r="G484" i="389"/>
  <c r="G480" i="389"/>
  <c r="G476" i="389"/>
  <c r="G472" i="389"/>
  <c r="G468" i="389"/>
  <c r="G464" i="389"/>
  <c r="G460" i="389"/>
  <c r="G456" i="389"/>
  <c r="G452" i="389"/>
  <c r="G448" i="389"/>
  <c r="G444" i="389"/>
  <c r="G440" i="389"/>
  <c r="G436" i="389"/>
  <c r="G432" i="389"/>
  <c r="G428" i="389"/>
  <c r="G424" i="389"/>
  <c r="G420" i="389"/>
  <c r="G416" i="389"/>
  <c r="G412" i="389"/>
  <c r="G408" i="389"/>
  <c r="G404" i="389"/>
  <c r="G400" i="389"/>
  <c r="G396" i="389"/>
  <c r="G392" i="389"/>
  <c r="G388" i="389"/>
  <c r="G383" i="389"/>
  <c r="G379" i="389"/>
  <c r="G375" i="389"/>
  <c r="G371" i="389"/>
  <c r="G367" i="389"/>
  <c r="G363" i="389"/>
  <c r="G359" i="389"/>
  <c r="G355" i="389"/>
  <c r="G351" i="389"/>
  <c r="G347" i="389"/>
  <c r="G343" i="389"/>
  <c r="G339" i="389"/>
  <c r="G335" i="389"/>
  <c r="G331" i="389"/>
  <c r="G327" i="389"/>
  <c r="G323" i="389"/>
  <c r="G319" i="389"/>
  <c r="G315" i="389"/>
  <c r="G311" i="389"/>
  <c r="G307" i="389"/>
  <c r="G303" i="389"/>
  <c r="G299" i="389"/>
  <c r="G295" i="389"/>
  <c r="G291" i="389"/>
  <c r="G287" i="389"/>
  <c r="G283" i="389"/>
  <c r="G279" i="389"/>
  <c r="G275" i="389"/>
  <c r="G271" i="389"/>
  <c r="G267" i="389"/>
  <c r="G263" i="389"/>
  <c r="G260" i="389"/>
  <c r="G256" i="389"/>
  <c r="G252" i="389"/>
  <c r="G248" i="389"/>
  <c r="G244" i="389"/>
  <c r="G240" i="389"/>
  <c r="G236" i="389"/>
  <c r="G232" i="389"/>
  <c r="G228" i="389"/>
  <c r="G224" i="389"/>
  <c r="G216" i="389"/>
  <c r="G212" i="389"/>
  <c r="G187" i="389"/>
  <c r="G155" i="389"/>
  <c r="G123" i="389"/>
  <c r="G58" i="389"/>
  <c r="G26" i="389"/>
  <c r="G694" i="389"/>
  <c r="G566" i="389"/>
  <c r="G438" i="389"/>
  <c r="G377" i="389"/>
  <c r="G262" i="389"/>
  <c r="G709" i="389"/>
  <c r="G693" i="389"/>
  <c r="G685" i="389"/>
  <c r="G669" i="389"/>
  <c r="G657" i="389"/>
  <c r="G649" i="389"/>
  <c r="G633" i="389"/>
  <c r="G621" i="389"/>
  <c r="G605" i="389"/>
  <c r="G581" i="389"/>
  <c r="G553" i="389"/>
  <c r="G716" i="389"/>
  <c r="G708" i="389"/>
  <c r="G696" i="389"/>
  <c r="G692" i="389"/>
  <c r="G684" i="389"/>
  <c r="G676" i="389"/>
  <c r="G668" i="389"/>
  <c r="G660" i="389"/>
  <c r="G652" i="389"/>
  <c r="G644" i="389"/>
  <c r="G636" i="389"/>
  <c r="G628" i="389"/>
  <c r="G608" i="389"/>
  <c r="G596" i="389"/>
  <c r="G588" i="389"/>
  <c r="G580" i="389"/>
  <c r="G572" i="389"/>
  <c r="G2" i="389"/>
  <c r="G24" i="389"/>
  <c r="G35" i="389"/>
  <c r="G56" i="389"/>
  <c r="G67" i="389"/>
  <c r="G88" i="389"/>
  <c r="G100" i="389"/>
  <c r="G121" i="389"/>
  <c r="G132" i="389"/>
  <c r="G153" i="389"/>
  <c r="G164" i="389"/>
  <c r="G185" i="389"/>
  <c r="G196" i="389"/>
  <c r="G218" i="389"/>
  <c r="G229" i="389"/>
  <c r="G250" i="389"/>
  <c r="G261" i="389"/>
  <c r="G281" i="389"/>
  <c r="G292" i="389"/>
  <c r="G313" i="389"/>
  <c r="G324" i="389"/>
  <c r="G13" i="389"/>
  <c r="G101" i="389"/>
  <c r="G144" i="389"/>
  <c r="G230" i="389"/>
  <c r="G272" i="389"/>
  <c r="G450" i="389"/>
  <c r="G482" i="389"/>
  <c r="G514" i="389"/>
  <c r="G546" i="389"/>
  <c r="G578" i="389"/>
  <c r="G610" i="389"/>
  <c r="G642" i="389"/>
  <c r="G674" i="389"/>
  <c r="G706" i="389"/>
  <c r="G68" i="389"/>
  <c r="G112" i="389"/>
  <c r="G197" i="389"/>
  <c r="G241" i="389"/>
  <c r="G325" i="389"/>
  <c r="G353" i="389"/>
  <c r="G369" i="389"/>
  <c r="G386" i="389"/>
  <c r="G402" i="389"/>
  <c r="G418" i="389"/>
  <c r="G454" i="389"/>
  <c r="G486" i="389"/>
  <c r="G518" i="389"/>
  <c r="G550" i="389"/>
  <c r="G582" i="389"/>
  <c r="G614" i="389"/>
  <c r="G646" i="389"/>
  <c r="G678" i="389"/>
  <c r="G710" i="389"/>
  <c r="G36" i="389"/>
  <c r="G79" i="389"/>
  <c r="G165" i="389"/>
  <c r="G209" i="389"/>
  <c r="G293" i="389"/>
  <c r="G336" i="389"/>
  <c r="G434" i="389"/>
  <c r="G466" i="389"/>
  <c r="G498" i="389"/>
  <c r="G530" i="389"/>
  <c r="G562" i="389"/>
  <c r="G594" i="389"/>
  <c r="G626" i="389"/>
  <c r="G658" i="389"/>
  <c r="G690" i="389"/>
  <c r="G711" i="389"/>
  <c r="G707" i="389"/>
  <c r="G703" i="389"/>
  <c r="G699" i="389"/>
  <c r="G695" i="389"/>
  <c r="G691" i="389"/>
  <c r="G687" i="389"/>
  <c r="G679" i="389"/>
  <c r="G675" i="389"/>
  <c r="G671" i="389"/>
  <c r="G667" i="389"/>
  <c r="G663" i="389"/>
  <c r="G659" i="389"/>
  <c r="G655" i="389"/>
  <c r="G647" i="389"/>
  <c r="G643" i="389"/>
  <c r="G639" i="389"/>
  <c r="G635" i="389"/>
  <c r="G631" i="389"/>
  <c r="G627" i="389"/>
  <c r="G623" i="389"/>
  <c r="G615" i="389"/>
  <c r="G611" i="389"/>
  <c r="G607" i="389"/>
  <c r="G603" i="389"/>
  <c r="G599" i="389"/>
  <c r="G595" i="389"/>
  <c r="G591" i="389"/>
  <c r="G583" i="389"/>
  <c r="G579" i="389"/>
  <c r="G575" i="389"/>
  <c r="G571" i="389"/>
  <c r="G567" i="389"/>
  <c r="G563" i="389"/>
  <c r="G559" i="389"/>
  <c r="G551" i="389"/>
  <c r="G547" i="389"/>
  <c r="G543" i="389"/>
  <c r="G539" i="389"/>
  <c r="G535" i="389"/>
  <c r="G531" i="389"/>
  <c r="G527" i="389"/>
  <c r="G519" i="389"/>
  <c r="G515" i="389"/>
  <c r="G511" i="389"/>
  <c r="G507" i="389"/>
  <c r="G503" i="389"/>
  <c r="G499" i="389"/>
  <c r="G495" i="389"/>
  <c r="G487" i="389"/>
  <c r="G483" i="389"/>
  <c r="G479" i="389"/>
  <c r="G475" i="389"/>
  <c r="G471" i="389"/>
  <c r="G467" i="389"/>
  <c r="G463" i="389"/>
  <c r="G455" i="389"/>
  <c r="G451" i="389"/>
  <c r="G447" i="389"/>
  <c r="G443" i="389"/>
  <c r="G439" i="389"/>
  <c r="G435" i="389"/>
  <c r="G431" i="389"/>
  <c r="G427" i="389"/>
  <c r="G423" i="389"/>
  <c r="G419" i="389"/>
  <c r="G415" i="389"/>
  <c r="G411" i="389"/>
  <c r="G407" i="389"/>
  <c r="G403" i="389"/>
  <c r="G399" i="389"/>
  <c r="G395" i="389"/>
  <c r="G391" i="389"/>
  <c r="G387" i="389"/>
  <c r="G382" i="389"/>
  <c r="G378" i="389"/>
  <c r="G374" i="389"/>
  <c r="G370" i="389"/>
  <c r="G366" i="389"/>
  <c r="G362" i="389"/>
  <c r="G358" i="389"/>
  <c r="G354" i="389"/>
  <c r="G346" i="389"/>
  <c r="G598" i="389"/>
  <c r="G470" i="389"/>
  <c r="G426" i="389"/>
  <c r="G361" i="389"/>
  <c r="G47" i="389"/>
  <c r="G208" i="389"/>
  <c r="G204" i="389"/>
  <c r="G199" i="389"/>
  <c r="G195" i="389"/>
  <c r="G191" i="389"/>
  <c r="G183" i="389"/>
  <c r="G179" i="389"/>
  <c r="G175" i="389"/>
  <c r="G171" i="389"/>
  <c r="G167" i="389"/>
  <c r="G163" i="389"/>
  <c r="G159" i="389"/>
  <c r="G151" i="389"/>
  <c r="G147" i="389"/>
  <c r="G143" i="389"/>
  <c r="G139" i="389"/>
  <c r="G135" i="389"/>
  <c r="G131" i="389"/>
  <c r="G127" i="389"/>
  <c r="G119" i="389"/>
  <c r="G115" i="389"/>
  <c r="G111" i="389"/>
  <c r="G107" i="389"/>
  <c r="G103" i="389"/>
  <c r="G99" i="389"/>
  <c r="G95" i="389"/>
  <c r="G86" i="389"/>
  <c r="G82" i="389"/>
  <c r="G78" i="389"/>
  <c r="G74" i="389"/>
  <c r="G70" i="389"/>
  <c r="G66" i="389"/>
  <c r="G62" i="389"/>
  <c r="G54" i="389"/>
  <c r="G50" i="389"/>
  <c r="G46" i="389"/>
  <c r="G42" i="389"/>
  <c r="G38" i="389"/>
  <c r="G34" i="389"/>
  <c r="G30" i="389"/>
  <c r="G22" i="389"/>
  <c r="G16" i="389"/>
  <c r="G12" i="389"/>
  <c r="G8" i="389"/>
  <c r="G4" i="389"/>
  <c r="G182" i="389"/>
  <c r="G178" i="389"/>
  <c r="G174" i="389"/>
  <c r="G170" i="389"/>
  <c r="G166" i="389"/>
  <c r="G162" i="389"/>
  <c r="G158" i="389"/>
  <c r="G154" i="389"/>
  <c r="G150" i="389"/>
  <c r="G146" i="389"/>
  <c r="G142" i="389"/>
  <c r="G138" i="389"/>
  <c r="G134" i="389"/>
  <c r="G130" i="389"/>
  <c r="G126" i="389"/>
  <c r="G122" i="389"/>
  <c r="G118" i="389"/>
  <c r="G114" i="389"/>
  <c r="G110" i="389"/>
  <c r="G106" i="389"/>
  <c r="G102" i="389"/>
  <c r="G98" i="389"/>
  <c r="G94" i="389"/>
  <c r="G90" i="389"/>
  <c r="G85" i="389"/>
  <c r="G81" i="389"/>
  <c r="G77" i="389"/>
  <c r="G73" i="389"/>
  <c r="G69" i="389"/>
  <c r="G65" i="389"/>
  <c r="G61" i="389"/>
  <c r="G57" i="389"/>
  <c r="G53" i="389"/>
  <c r="G49" i="389"/>
  <c r="G45" i="389"/>
  <c r="G41" i="389"/>
  <c r="G37" i="389"/>
  <c r="G33" i="389"/>
  <c r="G29" i="389"/>
  <c r="G25" i="389"/>
  <c r="G19" i="389"/>
  <c r="G15" i="389"/>
  <c r="G11" i="389"/>
  <c r="G7" i="389"/>
  <c r="G350" i="389"/>
  <c r="G342" i="389"/>
  <c r="G338" i="389"/>
  <c r="G334" i="389"/>
  <c r="G330" i="389"/>
  <c r="G326" i="389"/>
  <c r="G322" i="389"/>
  <c r="G318" i="389"/>
  <c r="G314" i="389"/>
  <c r="G310" i="389"/>
  <c r="G306" i="389"/>
  <c r="G302" i="389"/>
  <c r="G298" i="389"/>
  <c r="G294" i="389"/>
  <c r="G290" i="389"/>
  <c r="G286" i="389"/>
  <c r="G282" i="389"/>
  <c r="G278" i="389"/>
  <c r="G274" i="389"/>
  <c r="G270" i="389"/>
  <c r="G266" i="389"/>
  <c r="G259" i="389"/>
  <c r="G255" i="389"/>
  <c r="G251" i="389"/>
  <c r="G247" i="389"/>
  <c r="G243" i="389"/>
  <c r="G239" i="389"/>
  <c r="G235" i="389"/>
  <c r="G231" i="389"/>
  <c r="G227" i="389"/>
  <c r="G223" i="389"/>
  <c r="G219" i="389"/>
  <c r="G215" i="389"/>
  <c r="G211" i="389"/>
  <c r="G207" i="389"/>
  <c r="G203" i="389"/>
  <c r="G198" i="389"/>
  <c r="G194" i="389"/>
  <c r="G190" i="389"/>
  <c r="G186" i="389"/>
  <c r="G718" i="389"/>
  <c r="G714" i="389"/>
  <c r="G702" i="389"/>
  <c r="G698" i="389"/>
  <c r="G686" i="389"/>
  <c r="G682" i="389"/>
  <c r="G670" i="389"/>
  <c r="G666" i="389"/>
  <c r="G654" i="389"/>
  <c r="G650" i="389"/>
  <c r="G638" i="389"/>
  <c r="G634" i="389"/>
  <c r="G622" i="389"/>
  <c r="G618" i="389"/>
  <c r="G606" i="389"/>
  <c r="G602" i="389"/>
  <c r="G590" i="389"/>
  <c r="G586" i="389"/>
  <c r="G574" i="389"/>
  <c r="G570" i="389"/>
  <c r="G558" i="389"/>
  <c r="G554" i="389"/>
  <c r="G542" i="389"/>
  <c r="G538" i="389"/>
  <c r="G526" i="389"/>
  <c r="G522" i="389"/>
  <c r="G510" i="389"/>
  <c r="G506" i="389"/>
  <c r="G494" i="389"/>
  <c r="G490" i="389"/>
  <c r="G478" i="389"/>
  <c r="G474" i="389"/>
  <c r="G462" i="389"/>
  <c r="G458" i="389"/>
  <c r="G446" i="389"/>
  <c r="G442" i="389"/>
  <c r="G430" i="389"/>
  <c r="G422" i="389"/>
  <c r="G414" i="389"/>
  <c r="G406" i="389"/>
  <c r="G398" i="389"/>
  <c r="G390" i="389"/>
  <c r="G381" i="389"/>
  <c r="G373" i="389"/>
  <c r="G365" i="389"/>
  <c r="G357" i="389"/>
  <c r="G349" i="389"/>
  <c r="G341" i="389"/>
  <c r="G329" i="389"/>
  <c r="G309" i="389"/>
  <c r="G297" i="389"/>
  <c r="G277" i="389"/>
  <c r="G265" i="389"/>
  <c r="G246" i="389"/>
  <c r="G234" i="389"/>
  <c r="G214" i="389"/>
  <c r="G202" i="389"/>
  <c r="G181" i="389"/>
  <c r="G169" i="389"/>
  <c r="G149" i="389"/>
  <c r="G137" i="389"/>
  <c r="G117" i="389"/>
  <c r="G105" i="389"/>
  <c r="G84" i="389"/>
  <c r="G72" i="389"/>
  <c r="G52" i="389"/>
  <c r="G40" i="389"/>
  <c r="G18" i="389"/>
  <c r="G6" i="389"/>
  <c r="G337" i="389"/>
  <c r="G333" i="389"/>
  <c r="G321" i="389"/>
  <c r="G317" i="389"/>
  <c r="G305" i="389"/>
  <c r="G301" i="389"/>
  <c r="G289" i="389"/>
  <c r="G285" i="389"/>
  <c r="G273" i="389"/>
  <c r="G269" i="389"/>
  <c r="G258" i="389"/>
  <c r="G254" i="389"/>
  <c r="G242" i="389"/>
  <c r="G238" i="389"/>
  <c r="G226" i="389"/>
  <c r="G222" i="389"/>
  <c r="G210" i="389"/>
  <c r="G206" i="389"/>
  <c r="G193" i="389"/>
  <c r="G189" i="389"/>
  <c r="G177" i="389"/>
  <c r="G173" i="389"/>
  <c r="G161" i="389"/>
  <c r="G157" i="389"/>
  <c r="G145" i="389"/>
  <c r="G141" i="389"/>
  <c r="G129" i="389"/>
  <c r="G125" i="389"/>
  <c r="G113" i="389"/>
  <c r="G109" i="389"/>
  <c r="G97" i="389"/>
  <c r="G93" i="389"/>
  <c r="G80" i="389"/>
  <c r="G76" i="389"/>
  <c r="G64" i="389"/>
  <c r="G60" i="389"/>
  <c r="G48" i="389"/>
  <c r="G44" i="389"/>
  <c r="G32" i="389"/>
  <c r="G28" i="389"/>
  <c r="G14" i="389"/>
  <c r="G10" i="389"/>
  <c r="G332" i="389"/>
  <c r="G328" i="389"/>
  <c r="G316" i="389"/>
  <c r="G312" i="389"/>
  <c r="G300" i="389"/>
  <c r="G296" i="389"/>
  <c r="G284" i="389"/>
  <c r="G280" i="389"/>
  <c r="G268" i="389"/>
  <c r="G264" i="389"/>
  <c r="G253" i="389"/>
  <c r="G249" i="389"/>
  <c r="G237" i="389"/>
  <c r="G233" i="389"/>
  <c r="G221" i="389"/>
  <c r="G217" i="389"/>
  <c r="G205" i="389"/>
  <c r="G200" i="389"/>
  <c r="G188" i="389"/>
  <c r="G184" i="389"/>
  <c r="G172" i="389"/>
  <c r="G168" i="389"/>
  <c r="G156" i="389"/>
  <c r="G152" i="389"/>
  <c r="G140" i="389"/>
  <c r="G136" i="389"/>
  <c r="G124" i="389"/>
  <c r="G120" i="389"/>
  <c r="G108" i="389"/>
  <c r="G104" i="389"/>
  <c r="G92" i="389"/>
  <c r="G87" i="389"/>
  <c r="G75" i="389"/>
  <c r="G71" i="389"/>
  <c r="G59" i="389"/>
  <c r="G55" i="389"/>
  <c r="G43" i="389"/>
  <c r="G39" i="389"/>
  <c r="G27" i="389"/>
  <c r="G23" i="389"/>
  <c r="G9" i="389"/>
  <c r="G5" i="389"/>
  <c r="G3" i="389"/>
  <c r="F3" i="389"/>
  <c r="F4" i="389"/>
  <c r="F5" i="389"/>
  <c r="F6" i="389"/>
  <c r="F7" i="389"/>
  <c r="F8" i="389"/>
  <c r="F9" i="389"/>
  <c r="F10" i="389"/>
  <c r="F11" i="389"/>
  <c r="F12" i="389"/>
  <c r="F13" i="389"/>
  <c r="F14" i="389"/>
  <c r="F15" i="389"/>
  <c r="F16" i="389"/>
  <c r="F17" i="389"/>
  <c r="F18" i="389"/>
  <c r="F19" i="389"/>
  <c r="F22" i="389"/>
  <c r="F23" i="389"/>
  <c r="F24" i="389"/>
  <c r="F25" i="389"/>
  <c r="F26" i="389"/>
  <c r="F27" i="389"/>
  <c r="F28" i="389"/>
  <c r="F29" i="389"/>
  <c r="F30" i="389"/>
  <c r="F31" i="389"/>
  <c r="F32" i="389"/>
  <c r="F33" i="389"/>
  <c r="F34" i="389"/>
  <c r="F35" i="389"/>
  <c r="F36" i="389"/>
  <c r="F37" i="389"/>
  <c r="F38" i="389"/>
  <c r="F39" i="389"/>
  <c r="F40" i="389"/>
  <c r="F41" i="389"/>
  <c r="F42" i="389"/>
  <c r="F43" i="389"/>
  <c r="F44" i="389"/>
  <c r="F45" i="389"/>
  <c r="F46" i="389"/>
  <c r="F47" i="389"/>
  <c r="F48" i="389"/>
  <c r="F49" i="389"/>
  <c r="F50" i="389"/>
  <c r="F51" i="389"/>
  <c r="F52" i="389"/>
  <c r="F53" i="389"/>
  <c r="F54" i="389"/>
  <c r="F55" i="389"/>
  <c r="F56" i="389"/>
  <c r="F57" i="389"/>
  <c r="F58" i="389"/>
  <c r="F59" i="389"/>
  <c r="F60" i="389"/>
  <c r="F61" i="389"/>
  <c r="F62" i="389"/>
  <c r="F63" i="389"/>
  <c r="F64" i="389"/>
  <c r="F65" i="389"/>
  <c r="F66" i="389"/>
  <c r="F67" i="389"/>
  <c r="F68" i="389"/>
  <c r="F69" i="389"/>
  <c r="F70" i="389"/>
  <c r="F71" i="389"/>
  <c r="F72" i="389"/>
  <c r="F73" i="389"/>
  <c r="F74" i="389"/>
  <c r="F75" i="389"/>
  <c r="F76" i="389"/>
  <c r="F77" i="389"/>
  <c r="F78" i="389"/>
  <c r="F79" i="389"/>
  <c r="F80" i="389"/>
  <c r="F81" i="389"/>
  <c r="F82" i="389"/>
  <c r="F83" i="389"/>
  <c r="F84" i="389"/>
  <c r="F85" i="389"/>
  <c r="F86" i="389"/>
  <c r="F87" i="389"/>
  <c r="F88" i="389"/>
  <c r="F90" i="389"/>
  <c r="F91" i="389"/>
  <c r="F92" i="389"/>
  <c r="F93" i="389"/>
  <c r="F94" i="389"/>
  <c r="F95" i="389"/>
  <c r="F96" i="389"/>
  <c r="F97" i="389"/>
  <c r="F98" i="389"/>
  <c r="F99" i="389"/>
  <c r="F100" i="389"/>
  <c r="F101" i="389"/>
  <c r="F102" i="389"/>
  <c r="F103" i="389"/>
  <c r="F104" i="389"/>
  <c r="F105" i="389"/>
  <c r="F106" i="389"/>
  <c r="F107" i="389"/>
  <c r="F108" i="389"/>
  <c r="F109" i="389"/>
  <c r="F110" i="389"/>
  <c r="F111" i="389"/>
  <c r="F112" i="389"/>
  <c r="F113" i="389"/>
  <c r="F114" i="389"/>
  <c r="F115" i="389"/>
  <c r="F116" i="389"/>
  <c r="F117" i="389"/>
  <c r="F118" i="389"/>
  <c r="F119" i="389"/>
  <c r="F120" i="389"/>
  <c r="F121" i="389"/>
  <c r="F122" i="389"/>
  <c r="F123" i="389"/>
  <c r="F124" i="389"/>
  <c r="F125" i="389"/>
  <c r="F126" i="389"/>
  <c r="F127" i="389"/>
  <c r="F128" i="389"/>
  <c r="F129" i="389"/>
  <c r="F130" i="389"/>
  <c r="F131" i="389"/>
  <c r="F132" i="389"/>
  <c r="F133" i="389"/>
  <c r="F134" i="389"/>
  <c r="F135" i="389"/>
  <c r="F136" i="389"/>
  <c r="F137" i="389"/>
  <c r="F138" i="389"/>
  <c r="F139" i="389"/>
  <c r="F140" i="389"/>
  <c r="F141" i="389"/>
  <c r="F142" i="389"/>
  <c r="F143" i="389"/>
  <c r="F144" i="389"/>
  <c r="F145" i="389"/>
  <c r="F146" i="389"/>
  <c r="F147" i="389"/>
  <c r="F148" i="389"/>
  <c r="F149" i="389"/>
  <c r="F150" i="389"/>
  <c r="F151" i="389"/>
  <c r="F152" i="389"/>
  <c r="F153" i="389"/>
  <c r="F154" i="389"/>
  <c r="F155" i="389"/>
  <c r="F156" i="389"/>
  <c r="F157" i="389"/>
  <c r="F158" i="389"/>
  <c r="F159" i="389"/>
  <c r="F160" i="389"/>
  <c r="F161" i="389"/>
  <c r="F162" i="389"/>
  <c r="F163" i="389"/>
  <c r="F164" i="389"/>
  <c r="F165" i="389"/>
  <c r="F166" i="389"/>
  <c r="F167" i="389"/>
  <c r="F168" i="389"/>
  <c r="F169" i="389"/>
  <c r="F170" i="389"/>
  <c r="F171" i="389"/>
  <c r="F172" i="389"/>
  <c r="F173" i="389"/>
  <c r="F174" i="389"/>
  <c r="F175" i="389"/>
  <c r="F176" i="389"/>
  <c r="F177" i="389"/>
  <c r="F178" i="389"/>
  <c r="F179" i="389"/>
  <c r="F180" i="389"/>
  <c r="F181" i="389"/>
  <c r="F182" i="389"/>
  <c r="F183" i="389"/>
  <c r="F184" i="389"/>
  <c r="F185" i="389"/>
  <c r="F186" i="389"/>
  <c r="F187" i="389"/>
  <c r="F188" i="389"/>
  <c r="F189" i="389"/>
  <c r="F190" i="389"/>
  <c r="F191" i="389"/>
  <c r="F192" i="389"/>
  <c r="F193" i="389"/>
  <c r="F194" i="389"/>
  <c r="F195" i="389"/>
  <c r="F196" i="389"/>
  <c r="F197" i="389"/>
  <c r="F198" i="389"/>
  <c r="F199" i="389"/>
  <c r="F200" i="389"/>
  <c r="F202" i="389"/>
  <c r="F203" i="389"/>
  <c r="F204" i="389"/>
  <c r="F205" i="389"/>
  <c r="F206" i="389"/>
  <c r="F207" i="389"/>
  <c r="F208" i="389"/>
  <c r="F209" i="389"/>
  <c r="F210" i="389"/>
  <c r="F211" i="389"/>
  <c r="F212" i="389"/>
  <c r="F213" i="389"/>
  <c r="F214" i="389"/>
  <c r="F215" i="389"/>
  <c r="F216" i="389"/>
  <c r="F217" i="389"/>
  <c r="F218" i="389"/>
  <c r="F219" i="389"/>
  <c r="F220" i="389"/>
  <c r="F221" i="389"/>
  <c r="F222" i="389"/>
  <c r="F223" i="389"/>
  <c r="F224" i="389"/>
  <c r="F225" i="389"/>
  <c r="F226" i="389"/>
  <c r="F227" i="389"/>
  <c r="F228" i="389"/>
  <c r="F229" i="389"/>
  <c r="F230" i="389"/>
  <c r="F231" i="389"/>
  <c r="F232" i="389"/>
  <c r="F233" i="389"/>
  <c r="F234" i="389"/>
  <c r="F235" i="389"/>
  <c r="F236" i="389"/>
  <c r="F237" i="389"/>
  <c r="F238" i="389"/>
  <c r="F239" i="389"/>
  <c r="F240" i="389"/>
  <c r="F241" i="389"/>
  <c r="F242" i="389"/>
  <c r="F243" i="389"/>
  <c r="F244" i="389"/>
  <c r="F245" i="389"/>
  <c r="F246" i="389"/>
  <c r="F247" i="389"/>
  <c r="F248" i="389"/>
  <c r="F249" i="389"/>
  <c r="F250" i="389"/>
  <c r="F251" i="389"/>
  <c r="F252" i="389"/>
  <c r="F253" i="389"/>
  <c r="F254" i="389"/>
  <c r="F255" i="389"/>
  <c r="F256" i="389"/>
  <c r="F257" i="389"/>
  <c r="F258" i="389"/>
  <c r="F259" i="389"/>
  <c r="F260" i="389"/>
  <c r="F261" i="389"/>
  <c r="F262" i="389"/>
  <c r="F263" i="389"/>
  <c r="F264" i="389"/>
  <c r="F265" i="389"/>
  <c r="F266" i="389"/>
  <c r="F267" i="389"/>
  <c r="F268" i="389"/>
  <c r="F269" i="389"/>
  <c r="F270" i="389"/>
  <c r="F271" i="389"/>
  <c r="F272" i="389"/>
  <c r="F273" i="389"/>
  <c r="F274" i="389"/>
  <c r="F275" i="389"/>
  <c r="F276" i="389"/>
  <c r="F277" i="389"/>
  <c r="F278" i="389"/>
  <c r="F279" i="389"/>
  <c r="F280" i="389"/>
  <c r="F281" i="389"/>
  <c r="F282" i="389"/>
  <c r="F283" i="389"/>
  <c r="F284" i="389"/>
  <c r="F285" i="389"/>
  <c r="F286" i="389"/>
  <c r="F287" i="389"/>
  <c r="F288" i="389"/>
  <c r="F289" i="389"/>
  <c r="F290" i="389"/>
  <c r="F291" i="389"/>
  <c r="F292" i="389"/>
  <c r="F293" i="389"/>
  <c r="F294" i="389"/>
  <c r="F295" i="389"/>
  <c r="F296" i="389"/>
  <c r="F297" i="389"/>
  <c r="F298" i="389"/>
  <c r="F299" i="389"/>
  <c r="F300" i="389"/>
  <c r="F301" i="389"/>
  <c r="F302" i="389"/>
  <c r="F303" i="389"/>
  <c r="F304" i="389"/>
  <c r="F305" i="389"/>
  <c r="F306" i="389"/>
  <c r="F307" i="389"/>
  <c r="F308" i="389"/>
  <c r="F309" i="389"/>
  <c r="F310" i="389"/>
  <c r="F311" i="389"/>
  <c r="F312" i="389"/>
  <c r="F313" i="389"/>
  <c r="F314" i="389"/>
  <c r="F315" i="389"/>
  <c r="F316" i="389"/>
  <c r="F317" i="389"/>
  <c r="F318" i="389"/>
  <c r="F319" i="389"/>
  <c r="F320" i="389"/>
  <c r="F321" i="389"/>
  <c r="F322" i="389"/>
  <c r="F323" i="389"/>
  <c r="F324" i="389"/>
  <c r="F325" i="389"/>
  <c r="F326" i="389"/>
  <c r="F327" i="389"/>
  <c r="F328" i="389"/>
  <c r="F329" i="389"/>
  <c r="F330" i="389"/>
  <c r="F331" i="389"/>
  <c r="F332" i="389"/>
  <c r="F333" i="389"/>
  <c r="F334" i="389"/>
  <c r="F335" i="389"/>
  <c r="F336" i="389"/>
  <c r="F337" i="389"/>
  <c r="F338" i="389"/>
  <c r="F339" i="389"/>
  <c r="F340" i="389"/>
  <c r="F341" i="389"/>
  <c r="F342" i="389"/>
  <c r="F343" i="389"/>
  <c r="F344" i="389"/>
  <c r="F345" i="389"/>
  <c r="F346" i="389"/>
  <c r="F347" i="389"/>
  <c r="F348" i="389"/>
  <c r="F349" i="389"/>
  <c r="F350" i="389"/>
  <c r="F351" i="389"/>
  <c r="F352" i="389"/>
  <c r="F353" i="389"/>
  <c r="F354" i="389"/>
  <c r="F355" i="389"/>
  <c r="F356" i="389"/>
  <c r="F357" i="389"/>
  <c r="F358" i="389"/>
  <c r="F359" i="389"/>
  <c r="F360" i="389"/>
  <c r="F361" i="389"/>
  <c r="F362" i="389"/>
  <c r="F363" i="389"/>
  <c r="F364" i="389"/>
  <c r="F365" i="389"/>
  <c r="F366" i="389"/>
  <c r="F367" i="389"/>
  <c r="F368" i="389"/>
  <c r="F369" i="389"/>
  <c r="F370" i="389"/>
  <c r="F371" i="389"/>
  <c r="F372" i="389"/>
  <c r="F373" i="389"/>
  <c r="F374" i="389"/>
  <c r="F375" i="389"/>
  <c r="F376" i="389"/>
  <c r="F377" i="389"/>
  <c r="F378" i="389"/>
  <c r="F379" i="389"/>
  <c r="F380" i="389"/>
  <c r="F381" i="389"/>
  <c r="F382" i="389"/>
  <c r="F383" i="389"/>
  <c r="F384" i="389"/>
  <c r="F386" i="389"/>
  <c r="F387" i="389"/>
  <c r="F388" i="389"/>
  <c r="F389" i="389"/>
  <c r="F390" i="389"/>
  <c r="F391" i="389"/>
  <c r="F392" i="389"/>
  <c r="F393" i="389"/>
  <c r="F394" i="389"/>
  <c r="F395" i="389"/>
  <c r="F396" i="389"/>
  <c r="F397" i="389"/>
  <c r="F398" i="389"/>
  <c r="F399" i="389"/>
  <c r="F400" i="389"/>
  <c r="F401" i="389"/>
  <c r="F402" i="389"/>
  <c r="F403" i="389"/>
  <c r="F404" i="389"/>
  <c r="F405" i="389"/>
  <c r="F406" i="389"/>
  <c r="F407" i="389"/>
  <c r="F408" i="389"/>
  <c r="F409" i="389"/>
  <c r="F410" i="389"/>
  <c r="F411" i="389"/>
  <c r="F412" i="389"/>
  <c r="F413" i="389"/>
  <c r="F414" i="389"/>
  <c r="F415" i="389"/>
  <c r="F416" i="389"/>
  <c r="F417" i="389"/>
  <c r="F418" i="389"/>
  <c r="F419" i="389"/>
  <c r="F420" i="389"/>
  <c r="F421" i="389"/>
  <c r="F422" i="389"/>
  <c r="F423" i="389"/>
  <c r="F424" i="389"/>
  <c r="F425" i="389"/>
  <c r="F426" i="389"/>
  <c r="F427" i="389"/>
  <c r="F428" i="389"/>
  <c r="F429" i="389"/>
  <c r="F430" i="389"/>
  <c r="F431" i="389"/>
  <c r="F432" i="389"/>
  <c r="F433" i="389"/>
  <c r="F434" i="389"/>
  <c r="F435" i="389"/>
  <c r="F436" i="389"/>
  <c r="F437" i="389"/>
  <c r="F438" i="389"/>
  <c r="F439" i="389"/>
  <c r="F440" i="389"/>
  <c r="F441" i="389"/>
  <c r="F442" i="389"/>
  <c r="F443" i="389"/>
  <c r="F444" i="389"/>
  <c r="F445" i="389"/>
  <c r="F446" i="389"/>
  <c r="F447" i="389"/>
  <c r="F448" i="389"/>
  <c r="F449" i="389"/>
  <c r="F450" i="389"/>
  <c r="F451" i="389"/>
  <c r="F452" i="389"/>
  <c r="F453" i="389"/>
  <c r="F454" i="389"/>
  <c r="F455" i="389"/>
  <c r="F456" i="389"/>
  <c r="F457" i="389"/>
  <c r="F458" i="389"/>
  <c r="F459" i="389"/>
  <c r="F460" i="389"/>
  <c r="F461" i="389"/>
  <c r="F462" i="389"/>
  <c r="F463" i="389"/>
  <c r="F464" i="389"/>
  <c r="F465" i="389"/>
  <c r="F466" i="389"/>
  <c r="F467" i="389"/>
  <c r="F468" i="389"/>
  <c r="F469" i="389"/>
  <c r="F470" i="389"/>
  <c r="F471" i="389"/>
  <c r="F472" i="389"/>
  <c r="F473" i="389"/>
  <c r="F474" i="389"/>
  <c r="F475" i="389"/>
  <c r="F476" i="389"/>
  <c r="F477" i="389"/>
  <c r="F478" i="389"/>
  <c r="F479" i="389"/>
  <c r="F480" i="389"/>
  <c r="F481" i="389"/>
  <c r="F482" i="389"/>
  <c r="F483" i="389"/>
  <c r="F484" i="389"/>
  <c r="F485" i="389"/>
  <c r="F486" i="389"/>
  <c r="F487" i="389"/>
  <c r="F488" i="389"/>
  <c r="F489" i="389"/>
  <c r="F490" i="389"/>
  <c r="F491" i="389"/>
  <c r="F492" i="389"/>
  <c r="F493" i="389"/>
  <c r="F494" i="389"/>
  <c r="F495" i="389"/>
  <c r="F496" i="389"/>
  <c r="F497" i="389"/>
  <c r="F498" i="389"/>
  <c r="F499" i="389"/>
  <c r="F500" i="389"/>
  <c r="F501" i="389"/>
  <c r="F502" i="389"/>
  <c r="F503" i="389"/>
  <c r="F504" i="389"/>
  <c r="F505" i="389"/>
  <c r="F506" i="389"/>
  <c r="F507" i="389"/>
  <c r="F508" i="389"/>
  <c r="F509" i="389"/>
  <c r="F510" i="389"/>
  <c r="F511" i="389"/>
  <c r="F512" i="389"/>
  <c r="F513" i="389"/>
  <c r="F514" i="389"/>
  <c r="F515" i="389"/>
  <c r="F516" i="389"/>
  <c r="F517" i="389"/>
  <c r="F518" i="389"/>
  <c r="F519" i="389"/>
  <c r="F520" i="389"/>
  <c r="F521" i="389"/>
  <c r="F522" i="389"/>
  <c r="F523" i="389"/>
  <c r="F524" i="389"/>
  <c r="F525" i="389"/>
  <c r="F526" i="389"/>
  <c r="F527" i="389"/>
  <c r="F528" i="389"/>
  <c r="F529" i="389"/>
  <c r="F530" i="389"/>
  <c r="F531" i="389"/>
  <c r="F532" i="389"/>
  <c r="F533" i="389"/>
  <c r="F534" i="389"/>
  <c r="F535" i="389"/>
  <c r="F536" i="389"/>
  <c r="F537" i="389"/>
  <c r="F538" i="389"/>
  <c r="F539" i="389"/>
  <c r="F540" i="389"/>
  <c r="F541" i="389"/>
  <c r="F542" i="389"/>
  <c r="F543" i="389"/>
  <c r="F544" i="389"/>
  <c r="F545" i="389"/>
  <c r="F546" i="389"/>
  <c r="F547" i="389"/>
  <c r="F548" i="389"/>
  <c r="F549" i="389"/>
  <c r="F550" i="389"/>
  <c r="F551" i="389"/>
  <c r="F552" i="389"/>
  <c r="F553" i="389"/>
  <c r="F554" i="389"/>
  <c r="F555" i="389"/>
  <c r="F556" i="389"/>
  <c r="F557" i="389"/>
  <c r="F558" i="389"/>
  <c r="F559" i="389"/>
  <c r="F560" i="389"/>
  <c r="F561" i="389"/>
  <c r="F562" i="389"/>
  <c r="F563" i="389"/>
  <c r="F564" i="389"/>
  <c r="F565" i="389"/>
  <c r="F566" i="389"/>
  <c r="F567" i="389"/>
  <c r="F568" i="389"/>
  <c r="F569" i="389"/>
  <c r="F570" i="389"/>
  <c r="F571" i="389"/>
  <c r="F572" i="389"/>
  <c r="F573" i="389"/>
  <c r="F574" i="389"/>
  <c r="F575" i="389"/>
  <c r="F576" i="389"/>
  <c r="F577" i="389"/>
  <c r="F578" i="389"/>
  <c r="F579" i="389"/>
  <c r="F580" i="389"/>
  <c r="F581" i="389"/>
  <c r="F582" i="389"/>
  <c r="F583" i="389"/>
  <c r="F584" i="389"/>
  <c r="F585" i="389"/>
  <c r="F586" i="389"/>
  <c r="F587" i="389"/>
  <c r="F588" i="389"/>
  <c r="F589" i="389"/>
  <c r="F590" i="389"/>
  <c r="F591" i="389"/>
  <c r="F592" i="389"/>
  <c r="F593" i="389"/>
  <c r="F594" i="389"/>
  <c r="F595" i="389"/>
  <c r="F596" i="389"/>
  <c r="F597" i="389"/>
  <c r="F598" i="389"/>
  <c r="F599" i="389"/>
  <c r="F600" i="389"/>
  <c r="F601" i="389"/>
  <c r="F602" i="389"/>
  <c r="F603" i="389"/>
  <c r="F604" i="389"/>
  <c r="F605" i="389"/>
  <c r="F606" i="389"/>
  <c r="F607" i="389"/>
  <c r="F608" i="389"/>
  <c r="F609" i="389"/>
  <c r="F610" i="389"/>
  <c r="F611" i="389"/>
  <c r="F612" i="389"/>
  <c r="F613" i="389"/>
  <c r="F614" i="389"/>
  <c r="F615" i="389"/>
  <c r="F616" i="389"/>
  <c r="F617" i="389"/>
  <c r="F618" i="389"/>
  <c r="F619" i="389"/>
  <c r="F620" i="389"/>
  <c r="F621" i="389"/>
  <c r="F622" i="389"/>
  <c r="F623" i="389"/>
  <c r="F624" i="389"/>
  <c r="F625" i="389"/>
  <c r="F626" i="389"/>
  <c r="F627" i="389"/>
  <c r="F628" i="389"/>
  <c r="F629" i="389"/>
  <c r="F630" i="389"/>
  <c r="F631" i="389"/>
  <c r="F632" i="389"/>
  <c r="F633" i="389"/>
  <c r="F634" i="389"/>
  <c r="F635" i="389"/>
  <c r="F636" i="389"/>
  <c r="F637" i="389"/>
  <c r="F638" i="389"/>
  <c r="F639" i="389"/>
  <c r="F640" i="389"/>
  <c r="F641" i="389"/>
  <c r="F642" i="389"/>
  <c r="F643" i="389"/>
  <c r="F644" i="389"/>
  <c r="F645" i="389"/>
  <c r="F646" i="389"/>
  <c r="F647" i="389"/>
  <c r="F648" i="389"/>
  <c r="F649" i="389"/>
  <c r="F650" i="389"/>
  <c r="F651" i="389"/>
  <c r="F652" i="389"/>
  <c r="F653" i="389"/>
  <c r="F654" i="389"/>
  <c r="F655" i="389"/>
  <c r="F656" i="389"/>
  <c r="F657" i="389"/>
  <c r="F658" i="389"/>
  <c r="F659" i="389"/>
  <c r="F660" i="389"/>
  <c r="F661" i="389"/>
  <c r="F662" i="389"/>
  <c r="F663" i="389"/>
  <c r="F664" i="389"/>
  <c r="F665" i="389"/>
  <c r="F666" i="389"/>
  <c r="F667" i="389"/>
  <c r="F668" i="389"/>
  <c r="F669" i="389"/>
  <c r="F670" i="389"/>
  <c r="F671" i="389"/>
  <c r="F672" i="389"/>
  <c r="F673" i="389"/>
  <c r="F674" i="389"/>
  <c r="F675" i="389"/>
  <c r="F676" i="389"/>
  <c r="F677" i="389"/>
  <c r="F678" i="389"/>
  <c r="F679" i="389"/>
  <c r="F680" i="389"/>
  <c r="F681" i="389"/>
  <c r="F682" i="389"/>
  <c r="F683" i="389"/>
  <c r="F684" i="389"/>
  <c r="F685" i="389"/>
  <c r="F686" i="389"/>
  <c r="F687" i="389"/>
  <c r="F688" i="389"/>
  <c r="F689" i="389"/>
  <c r="F690" i="389"/>
  <c r="F691" i="389"/>
  <c r="F692" i="389"/>
  <c r="F693" i="389"/>
  <c r="F694" i="389"/>
  <c r="F695" i="389"/>
  <c r="F696" i="389"/>
  <c r="F697" i="389"/>
  <c r="F698" i="389"/>
  <c r="F699" i="389"/>
  <c r="F700" i="389"/>
  <c r="F701" i="389"/>
  <c r="F702" i="389"/>
  <c r="F703" i="389"/>
  <c r="F704" i="389"/>
  <c r="F705" i="389"/>
  <c r="F706" i="389"/>
  <c r="F707" i="389"/>
  <c r="F708" i="389"/>
  <c r="F709" i="389"/>
  <c r="F710" i="389"/>
  <c r="F711" i="389"/>
  <c r="F712" i="389"/>
  <c r="F713" i="389"/>
  <c r="F714" i="389"/>
  <c r="F715" i="389"/>
  <c r="F716" i="389"/>
  <c r="F717" i="389"/>
  <c r="F718" i="389"/>
  <c r="F2" i="389"/>
  <c r="X3" i="381" l="1"/>
  <c r="W3" i="381"/>
  <c r="T3" i="381"/>
  <c r="X2" i="381"/>
  <c r="W2" i="381"/>
  <c r="T2" i="381"/>
  <c r="B53" i="383"/>
  <c r="B52" i="383"/>
  <c r="B51" i="383"/>
  <c r="B50" i="383"/>
  <c r="B49" i="383"/>
  <c r="B48" i="383"/>
  <c r="B47" i="383"/>
  <c r="B46" i="383"/>
  <c r="B45" i="383"/>
  <c r="B44" i="383"/>
  <c r="B43" i="383"/>
  <c r="B42" i="383"/>
  <c r="B41" i="383"/>
  <c r="B40" i="383"/>
  <c r="B39" i="383"/>
  <c r="B38" i="383"/>
  <c r="B37" i="383"/>
  <c r="B36" i="383"/>
  <c r="B35" i="383"/>
  <c r="B34" i="383"/>
  <c r="B33" i="383"/>
  <c r="B32" i="383"/>
  <c r="B31" i="383"/>
  <c r="U3" i="381" l="1"/>
  <c r="V3" i="381"/>
  <c r="Y3" i="381" s="1"/>
  <c r="U2" i="381"/>
  <c r="V2" i="381"/>
  <c r="Y2" i="38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Đến 241" type="6" refreshedVersion="4" background="1" saveData="1">
    <textPr codePage="65001" sourceFile="D:\Thơ\ĐỐI SOÁT\Năm 2016\Tháng 02\HỒ CHÍ MINH\TIKI\Dữ liệu\Đến 24.csv">
      <textFields count="5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đến ngày 121" type="6" refreshedVersion="4" background="1" saveData="1">
    <textPr codePage="65001" sourceFile="D:\Thơ\ĐỐI SOÁT\Năm 2016\Tháng 02\HỒ CHÍ MINH\TIKI\Dữ liệu\đến ngày 12.csv">
      <textFields count="5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2000000}" name="SO_Search_Result1" type="6" refreshedVersion="4" background="1" saveData="1">
    <textPr codePage="65001" sourceFile="C:\Users\ntranthi\Desktop\SO_Search_Result.csv">
      <textFields count="6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00000000-0015-0000-FFFF-FFFF03000000}" name="SO_Search_Result11" type="6" refreshedVersion="4" background="1" saveData="1">
    <textPr codePage="65001" sourceFile="C:\Users\ntranthi\Desktop\SO_Search_Result.csv">
      <textFields count="5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00000000-0015-0000-FFFF-FFFF04000000}" name="SO_Search_Result12" type="6" refreshedVersion="4" background="1" saveData="1">
    <textPr codePage="65001" sourceFile="C:\Users\ntranthi\Desktop\SO_Search_Result.csv">
      <textFields count="5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00000000-0015-0000-FFFF-FFFF05000000}" name="SO_Search_Result2" type="6" refreshedVersion="4" background="1" saveData="1">
    <textPr codePage="65001" sourceFile="C:\Users\ntranthi\Desktop\SO_Search_Result.csv">
      <textFields count="8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00000000-0015-0000-FFFF-FFFF06000000}" name="SO_Search_Result3" type="6" refreshedVersion="4" background="1" saveData="1">
    <textPr codePage="65001" sourceFile="C:\Users\ntranthi\Desktop\SO_Search_Result.csv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<sst xmlns="http://schemas.openxmlformats.org/spreadsheetml/2006/main" count="13690" uniqueCount="3490">
  <si>
    <t>DS Dịch vụ</t>
  </si>
  <si>
    <t>Ngày tạo</t>
  </si>
  <si>
    <t>Tiền thu</t>
  </si>
  <si>
    <t>Tên người nhận</t>
  </si>
  <si>
    <t>ĐC Giao Hàng</t>
  </si>
  <si>
    <t>Tình Trạng</t>
  </si>
  <si>
    <t>Từ Quận</t>
  </si>
  <si>
    <t>Đến Quận</t>
  </si>
  <si>
    <t>TG KT Trả Hàng</t>
  </si>
  <si>
    <t>Ngày chuyển COD</t>
  </si>
  <si>
    <t>Khối lượng</t>
  </si>
  <si>
    <t>Quận Ninh Kiều - Cần Thơ</t>
  </si>
  <si>
    <t>Quận Cái Răng - Cần Thơ</t>
  </si>
  <si>
    <t>Quận Ô Môn - Cần Thơ</t>
  </si>
  <si>
    <t>Quận Ngô Quyền - Hải Phòng</t>
  </si>
  <si>
    <t>HCM</t>
  </si>
  <si>
    <t>Quận/Huyện</t>
  </si>
  <si>
    <t>Quận Hồng Bàng - Hải Phòng</t>
  </si>
  <si>
    <t>Quận Lê Chân - Hải Phòng</t>
  </si>
  <si>
    <t>Quận Kiến An - Hải Phòng</t>
  </si>
  <si>
    <t>Quận Hải An - Hải Phòng</t>
  </si>
  <si>
    <t>Quận Thốt Nốt - Cần Thơ</t>
  </si>
  <si>
    <t>Huyện Yên Khánh - Ninh Bình</t>
  </si>
  <si>
    <t>Quận Tân Phú - Hồ Chí Minh</t>
  </si>
  <si>
    <t>Thành phố Vinh - Nghệ An</t>
  </si>
  <si>
    <t>Thành phố Đồng Hới - Quảng Bình</t>
  </si>
  <si>
    <t>Thành phố Bến Tre - Bến Tre</t>
  </si>
  <si>
    <t>Quận Cầu Giấy - Hà Nội</t>
  </si>
  <si>
    <t>Quận Tây Hồ - Hà Nội</t>
  </si>
  <si>
    <t>Thành phố Hội An - Quảng Nam</t>
  </si>
  <si>
    <t>Thành phố Quy Nhơn - Bình Định</t>
  </si>
  <si>
    <t>Thành phố Mỹ Tho - Tiền Giang</t>
  </si>
  <si>
    <t>Quận Liên Chiểu - Đà Nẵng</t>
  </si>
  <si>
    <t>Quận Bình Thủy - Cần Thơ</t>
  </si>
  <si>
    <t>Quận Ba Đình - Hà Nội</t>
  </si>
  <si>
    <t>Quận Hải Châu - Đà Nẵng</t>
  </si>
  <si>
    <t>Thành phố Buôn Ma Thuột - Đắk Lắk</t>
  </si>
  <si>
    <t>Thành phố Vị Thanh - Hậu Giang</t>
  </si>
  <si>
    <t>Thành phố Thái Nguyên - Thái Nguyên</t>
  </si>
  <si>
    <t>Thành phố Biên Hòa - Đồng Nai</t>
  </si>
  <si>
    <t>Thành phố Uông Bí - Quảng Ninh</t>
  </si>
  <si>
    <t>Thành phố Cà Mau - Cà Mau</t>
  </si>
  <si>
    <t>Quận Hoàn Kiếm - Hà Nội</t>
  </si>
  <si>
    <t>Thành phố Thanh Hóa - Thanh Hóa</t>
  </si>
  <si>
    <t>Thành phố Tuy Hòa - Phú Yên</t>
  </si>
  <si>
    <t>Thành phố Hải Dương - Hải Dương</t>
  </si>
  <si>
    <t>Thành phố Việt Trì - Phú Thọ</t>
  </si>
  <si>
    <t>Quận Đống Đa - Hà Nội</t>
  </si>
  <si>
    <t>Quận Sơn Trà - Đà Nẵng</t>
  </si>
  <si>
    <t>Quận Hoàng Mai - Hà Nội</t>
  </si>
  <si>
    <t>Thành phố Tam Kỳ - Quảng Nam</t>
  </si>
  <si>
    <t>Quận Hai Bà Trưng - Hà Nội</t>
  </si>
  <si>
    <t>Quận Thanh Xuân - Hà Nội</t>
  </si>
  <si>
    <t>Thành phố Yên Bái - Yên Bái</t>
  </si>
  <si>
    <t>Thành phố Sa Đéc - Đồng Tháp</t>
  </si>
  <si>
    <t>Quận Cẩm Lệ - Đà Nẵng</t>
  </si>
  <si>
    <t>Thành phố Tân An - Long An</t>
  </si>
  <si>
    <t>Thành phố Thái Bình - Thái Bình</t>
  </si>
  <si>
    <t>Thành phố Rạch Giá - Kiên Giang</t>
  </si>
  <si>
    <t>Thành phố Trà Vinh - Trà Vinh</t>
  </si>
  <si>
    <t>Thành phố Kon Tum - Kon Tum</t>
  </si>
  <si>
    <t>Thành phố Vĩnh Long - Vĩnh Long</t>
  </si>
  <si>
    <t>Thành phố Long Xuyên - An Giang</t>
  </si>
  <si>
    <t>Thị xã Gia Nghĩa - Đắk Nông</t>
  </si>
  <si>
    <t>Thành phố Sóc Trăng - Sóc Trăng</t>
  </si>
  <si>
    <t>Thành phố Cẩm Phả - Quảng Ninh</t>
  </si>
  <si>
    <t>Thị xã Dĩ An - Bình Dương</t>
  </si>
  <si>
    <t>Thành phố Hà Giang - Hà Giang</t>
  </si>
  <si>
    <t>Thành phố Bạc Liêu - Bạc Liêu</t>
  </si>
  <si>
    <t>Thành phố Quảng Ngãi - Quảng Ngãi</t>
  </si>
  <si>
    <t>Thành phố Móng Cái - Quảng Ninh</t>
  </si>
  <si>
    <t>Thành phố Nha Trang - Khánh Hòa</t>
  </si>
  <si>
    <t>Thành phố Hòa Bình - Hòa Bình</t>
  </si>
  <si>
    <t>Thành phố Pleiku - Gia Lai</t>
  </si>
  <si>
    <t>Thành phố Phan Thiết - Bình Thuận</t>
  </si>
  <si>
    <t>Thành phố Đà Lạt - Lâm Đồng</t>
  </si>
  <si>
    <t>Quận Hà Đông - Hà Nội</t>
  </si>
  <si>
    <t>Thành phố Lào Cai - Lào Cai</t>
  </si>
  <si>
    <t>Thành phố Ninh Bình - Ninh Bình</t>
  </si>
  <si>
    <t>Thành phố Vĩnh Yên - Vĩnh Phúc</t>
  </si>
  <si>
    <t>Thành phố Hạ Long - Quảng Ninh</t>
  </si>
  <si>
    <t>Thành phố Sơn La - Sơn La</t>
  </si>
  <si>
    <t>Thị xã Đồng Xoài - Bình Phước</t>
  </si>
  <si>
    <t>Thành phố Cam Ranh - Khánh Hòa</t>
  </si>
  <si>
    <t>Thành phố Cao Lãnh - Đồng Tháp</t>
  </si>
  <si>
    <t>Thành phố Tây Ninh - Tây Ninh</t>
  </si>
  <si>
    <t>Thành phố Điện Biên Phủ - Điện Biên</t>
  </si>
  <si>
    <t>Quận Long Biên - Hà Nội</t>
  </si>
  <si>
    <t>Thành phố Nam Định - Nam Định</t>
  </si>
  <si>
    <t>Thành phố Đông Hà - Quảng Trị</t>
  </si>
  <si>
    <t>Thành phố Thủ Dầu Một - Bình Dương</t>
  </si>
  <si>
    <t>Quận Thanh Khê - Đà Nẵng</t>
  </si>
  <si>
    <t>Thành phố Phủ Lý - Hà Nam</t>
  </si>
  <si>
    <t>Quận Ngũ Hành Sơn - Đà Nẵng</t>
  </si>
  <si>
    <t>Thành phố Cao Bằng - Cao Bằng</t>
  </si>
  <si>
    <t>Thành phố Lạng Sơn - Lạng Sơn</t>
  </si>
  <si>
    <t>Thành phố Bắc Ninh - Bắc Ninh</t>
  </si>
  <si>
    <t>Thành phố Bắc Giang - Bắc Giang</t>
  </si>
  <si>
    <t>Thành phố Lai Châu - Lai Châu</t>
  </si>
  <si>
    <t>Thành phố Tuyên Quang - Tuyên Quang</t>
  </si>
  <si>
    <t>Thành phố Hà Tĩnh - Hà Tĩnh</t>
  </si>
  <si>
    <t>Thành phố Hưng Yên - Hưng Yên</t>
  </si>
  <si>
    <t>Thị xã Sông Công - Thái Nguyên</t>
  </si>
  <si>
    <t>Thị xã Quảng Trị - Quảng Trị</t>
  </si>
  <si>
    <t>Thành phố Bắc Kạn - Bắc Kạn</t>
  </si>
  <si>
    <t>Huyện Đan Phượng - Hà Nội</t>
  </si>
  <si>
    <t>Huyện Tân Yên - Bắc Giang</t>
  </si>
  <si>
    <t>Thị xã An Nhơn - Bình Định</t>
  </si>
  <si>
    <t>Huyện Quế Võ - Bắc Ninh</t>
  </si>
  <si>
    <t>Quận 1 - Hồ Chí Minh</t>
  </si>
  <si>
    <t>Quận Tân Bình - Hồ Chí Minh</t>
  </si>
  <si>
    <t>Quận 3 - Hồ Chí Minh</t>
  </si>
  <si>
    <t>Quận 8 - Hồ Chí Minh</t>
  </si>
  <si>
    <t>Quận Phú Nhuận - Hồ Chí Minh</t>
  </si>
  <si>
    <t>Quận Bình Thạnh - Hồ Chí Minh</t>
  </si>
  <si>
    <t>Quận Gò Vấp - Hồ Chí Minh</t>
  </si>
  <si>
    <t>Quận Bình Tân - Hồ Chí Minh</t>
  </si>
  <si>
    <t>Quận 10 - Hồ Chí Minh</t>
  </si>
  <si>
    <t>Quận 5 - Hồ Chí Minh</t>
  </si>
  <si>
    <t>Giao thành công/Chờ hoàn tất</t>
  </si>
  <si>
    <t>Quận 7 - Hồ Chí Minh</t>
  </si>
  <si>
    <t>Quận 4 - Hồ Chí Minh</t>
  </si>
  <si>
    <t>Quận 6 - Hồ Chí Minh</t>
  </si>
  <si>
    <t>Huyện Bình Chánh - Hồ Chí Minh</t>
  </si>
  <si>
    <t>Quận 12 - Hồ Chí Minh</t>
  </si>
  <si>
    <t>Quận 2 - Hồ Chí Minh</t>
  </si>
  <si>
    <t>Quận Thủ Đức - Hồ Chí Minh</t>
  </si>
  <si>
    <t>Quận 11 - Hồ Chí Minh</t>
  </si>
  <si>
    <t>Huyện Nhà Bè - Hồ Chí Minh</t>
  </si>
  <si>
    <t>Huyện Củ Chi - Hồ Chí Minh</t>
  </si>
  <si>
    <t>Huyện Hóc Môn - Hồ Chí Minh</t>
  </si>
  <si>
    <t>Quận 9 - Hồ Chí Minh</t>
  </si>
  <si>
    <t>Khối lượng quy đổi</t>
  </si>
  <si>
    <t>Huyện Đông Anh - Hà Nội</t>
  </si>
  <si>
    <t>Huyện Giá Rai - Bạc Liêu</t>
  </si>
  <si>
    <t>Huyện Hoài Đức - Hà Nội</t>
  </si>
  <si>
    <t>Huyện Tân Phú - Đồng Nai</t>
  </si>
  <si>
    <t>Huyện Gò Dầu - Tây Ninh</t>
  </si>
  <si>
    <t>Huyện Bến Cầu - Tây Ninh</t>
  </si>
  <si>
    <t>Huyện Hoàng Su Phì - Hà Giang</t>
  </si>
  <si>
    <t>Thị xã Ninh Hòa - Khánh Hòa</t>
  </si>
  <si>
    <t>Huyện Tân Châu - An Giang</t>
  </si>
  <si>
    <t>Thành phố Châu Đốc - An Giang</t>
  </si>
  <si>
    <t>Huyện An Phú - An Giang</t>
  </si>
  <si>
    <t>Huyện Tịnh Biên - An Giang</t>
  </si>
  <si>
    <t>Huyện Hòa Thành - Tây Ninh</t>
  </si>
  <si>
    <t>Huyện Thanh Trì - Hà Nội</t>
  </si>
  <si>
    <t>Huyện Yên Dũng - Bắc Giang</t>
  </si>
  <si>
    <t>Huyện Cẩm Giàng - Hải Dương</t>
  </si>
  <si>
    <t>Huyện Long Hồ - Vĩnh Long</t>
  </si>
  <si>
    <t>Huyện Mê Linh - Hà Nội</t>
  </si>
  <si>
    <t>Thị xã Sơn Tây - Hà Nội</t>
  </si>
  <si>
    <t>Huyện Gia Lâm - Hà Nội</t>
  </si>
  <si>
    <t>Quận Bắc Từ Liêm - Hà Nội</t>
  </si>
  <si>
    <t>Huyện Đồng Phú - Bình Phước</t>
  </si>
  <si>
    <t>Quận Nam Từ Liêm - Hà Nội</t>
  </si>
  <si>
    <t>Huyện Lâm Thao - Phú Thọ</t>
  </si>
  <si>
    <t>Huyện An Dương - Hải Phòng</t>
  </si>
  <si>
    <t>Thị xã Thuận An - Bình Dương</t>
  </si>
  <si>
    <t>Huyện Ba Tri - Bến Tre</t>
  </si>
  <si>
    <t>Huyện Cần Đước - Long An</t>
  </si>
  <si>
    <t>Huyện Bến Lức - Long An</t>
  </si>
  <si>
    <t>Thị xã Long Khánh - Đồng Nai</t>
  </si>
  <si>
    <t>Huyện Thới Lai - Cần Thơ</t>
  </si>
  <si>
    <t>Huyện Văn Lâm - Hưng Yên</t>
  </si>
  <si>
    <t>Thị xã Quảng Yên - Quảng Ninh</t>
  </si>
  <si>
    <t>Huyện Đức Hòa - Long An</t>
  </si>
  <si>
    <t>Huyện Cư M gar - Đắk Lắk</t>
  </si>
  <si>
    <t>Huyện Krông Ana - Đắk Lắk</t>
  </si>
  <si>
    <t>Huyện Ea Kar - Đắk Lắk</t>
  </si>
  <si>
    <t>Thị xã Từ Sơn - Bắc Ninh</t>
  </si>
  <si>
    <t>Huyện Lai Vung - Đồng Tháp</t>
  </si>
  <si>
    <t>Huyện Đại Từ - Thái Nguyên</t>
  </si>
  <si>
    <t>Huyện Đơn Dương - Lâm Đồng</t>
  </si>
  <si>
    <t>Huyện Thạnh Hóa - Long An</t>
  </si>
  <si>
    <t>Huyện Trà Cú - Trà Vinh</t>
  </si>
  <si>
    <t>Huyện Chương Mỹ - Hà Nội</t>
  </si>
  <si>
    <t>Huyện Vĩnh Hưng - Long An</t>
  </si>
  <si>
    <t>Thị xã Bến Cát - Bình Dương</t>
  </si>
  <si>
    <t>Huyện Tân Thạnh - Long An</t>
  </si>
  <si>
    <t>Huyện Tân Hưng - Long An</t>
  </si>
  <si>
    <t>Thị xã Tân Uyên - Bình Dương</t>
  </si>
  <si>
    <t>Huyện Thống Nhất - Đồng Nai</t>
  </si>
  <si>
    <t>Huyện Vĩnh Cửu - Đồng Nai</t>
  </si>
  <si>
    <t>Huyện Định Quán - Đồng Nai</t>
  </si>
  <si>
    <t>Huyện Trảng Bom - Đồng Nai</t>
  </si>
  <si>
    <t>Huyện Dầu Tiếng - Bình Dương</t>
  </si>
  <si>
    <t>Huyện Cờ Đỏ - Cần Thơ</t>
  </si>
  <si>
    <t>Thị xã Kiến Tường - Long An</t>
  </si>
  <si>
    <t>Huyện Phong Điền - Cần Thơ</t>
  </si>
  <si>
    <t>Huyện Ứng Hòa - Hà Nội</t>
  </si>
  <si>
    <t>Huyện Phú Xuyên - Hà Nội</t>
  </si>
  <si>
    <t>Huyện Mỹ Đức - Hà Nội</t>
  </si>
  <si>
    <t>Huyện Thạch Thất - Hà Nội</t>
  </si>
  <si>
    <t>Huyện Sóc Sơn - Hà Nội</t>
  </si>
  <si>
    <t>Huyện Thường Tín - Hà Nội</t>
  </si>
  <si>
    <t>Huyện Thanh Oai - Hà Nội</t>
  </si>
  <si>
    <t>Huyện Phúc Thọ - Hà Nội</t>
  </si>
  <si>
    <t>Huyện Ba Vì - Hà Nội</t>
  </si>
  <si>
    <t>Huyện Quốc Oai  - Hà Nội</t>
  </si>
  <si>
    <t>Huyện Hòa Vang - Đà Nẵng</t>
  </si>
  <si>
    <t>Huyện Thủy Nguyên - Hải Phòng</t>
  </si>
  <si>
    <t>Huyện Tiên Du - Bắc Ninh</t>
  </si>
  <si>
    <t>Huyện Kim Động - Hưng Yên</t>
  </si>
  <si>
    <t>Huyện Bát Xát - Lào Cai</t>
  </si>
  <si>
    <t>Thị xã Tam Điệp - Ninh Bình</t>
  </si>
  <si>
    <t>Huyện Đồng Hỷ - Thái Nguyên</t>
  </si>
  <si>
    <t>Huyện Quảng Xương - Thanh Hóa</t>
  </si>
  <si>
    <t>Huyện Hoằng Hóa - Thanh Hóa</t>
  </si>
  <si>
    <t>Huyện Nam Sách - Hải Dương</t>
  </si>
  <si>
    <t>Huyện Vũ Thư - Thái Bình</t>
  </si>
  <si>
    <t>Huyện Đông Hưng - Thái Bình</t>
  </si>
  <si>
    <t>Huyện Yên Sơn - Tuyên Quang</t>
  </si>
  <si>
    <t>Huyện Vĩnh Tường - Vĩnh Phúc</t>
  </si>
  <si>
    <t>Huyện Yên Lạc - Vĩnh Phúc</t>
  </si>
  <si>
    <t>Huyện Bình Xuyên - Vĩnh Phúc</t>
  </si>
  <si>
    <t>Huyện Tân Uyên - Lai Châu</t>
  </si>
  <si>
    <t>Huyện Việt Yên - Bắc Giang</t>
  </si>
  <si>
    <t>Huyện Nho Quan - Ninh Bình</t>
  </si>
  <si>
    <t>Huyện Hoa Lư - Ninh Bình</t>
  </si>
  <si>
    <t>Huyện Hưng Hà - Thái Bình</t>
  </si>
  <si>
    <t>Huyện Ân Thi - Hưng Yên</t>
  </si>
  <si>
    <t>Huyện Bắc Quang - Hà Giang</t>
  </si>
  <si>
    <t>Huyện An Lão - Hải Phòng</t>
  </si>
  <si>
    <t>Huyện Anh Sơn - Nghệ An</t>
  </si>
  <si>
    <t>Huyện Bảo Lâm - Cao Bằng</t>
  </si>
  <si>
    <t>Huyện Bình Liêu - Quảng Ninh</t>
  </si>
  <si>
    <t>Huyện Bình Lục - Hà Nam</t>
  </si>
  <si>
    <t>Huyện Cao Lộc - Lạng Sơn</t>
  </si>
  <si>
    <t>Huyện Cẩm Khê - Phú Thọ</t>
  </si>
  <si>
    <t>Huyện Bình Giang - Hải Dương</t>
  </si>
  <si>
    <t>Huyện Gia Lộc - Hải Dương</t>
  </si>
  <si>
    <t>Huyện Diễn Châu - Nghệ An</t>
  </si>
  <si>
    <t>Huyện Định Hóa - Thái Nguyên</t>
  </si>
  <si>
    <t>Huyện đảo Vân Đồn - Quảng Ninh</t>
  </si>
  <si>
    <t>Huyện Đô Lương - Nghệ An</t>
  </si>
  <si>
    <t>Huyện Duy Tiên - Hà Nam</t>
  </si>
  <si>
    <t>Huyện Chợ Đồn - Bắc Kạn</t>
  </si>
  <si>
    <t>Huyện Gia Bình - Bắc Ninh</t>
  </si>
  <si>
    <t>Huyện Đoan Hùng - Phú Thọ</t>
  </si>
  <si>
    <t>Huyện Hậu Lộc - Thanh Hóa</t>
  </si>
  <si>
    <t>Huyện Hà Trung - Thanh Hóa</t>
  </si>
  <si>
    <t>Huyện Hạ Hòa - Phú Thọ</t>
  </si>
  <si>
    <t>Huyện Hải Hà - Quảng Ninh</t>
  </si>
  <si>
    <t>Huyện Hữu Lũng - Lạng Sơn</t>
  </si>
  <si>
    <t>Huyện Hưng Nguyên - Nghệ An</t>
  </si>
  <si>
    <t>Huyện Hòa An - Cao Bằng</t>
  </si>
  <si>
    <t>Huyện Lục Ngạn - Bắc Giang</t>
  </si>
  <si>
    <t>Huyện Kiến Xương - Thái Bình</t>
  </si>
  <si>
    <t>Huyện Mộc Châu - Sơn La</t>
  </si>
  <si>
    <t>Huyện Lạng Giang - Bắc Giang</t>
  </si>
  <si>
    <t>Huyện Mỹ Hào - Hưng Yên</t>
  </si>
  <si>
    <t>Huyện Khoái Châu - Hưng Yên</t>
  </si>
  <si>
    <t>Huyện Lập Thạch - Vĩnh Phúc</t>
  </si>
  <si>
    <t>Huyện Kinh Môn - Hải Dương</t>
  </si>
  <si>
    <t>Huyện Kim Thành - Hải Dương</t>
  </si>
  <si>
    <t>Huyện Lộc Bình - Lạng Sơn</t>
  </si>
  <si>
    <t>Huyện Mai Sơn - Sơn La</t>
  </si>
  <si>
    <t>Huyện Lục Nam - Bắc Giang</t>
  </si>
  <si>
    <t>Huyện Lý Nhân - Hà Nam</t>
  </si>
  <si>
    <t>Huyện Kim Bảng - Hà Nam</t>
  </si>
  <si>
    <t>Huyện Nam Trực - Nam Định</t>
  </si>
  <si>
    <t>Huyện Mường Chà - Điện Biên</t>
  </si>
  <si>
    <t>Huyện Mèo Vạc - Hà Giang</t>
  </si>
  <si>
    <t>Huyện Lương Tài - Bắc Ninh</t>
  </si>
  <si>
    <t>Huyện Lâm Bình - Tuyên Quang</t>
  </si>
  <si>
    <t>Huyện Thuận Thành - Bắc Ninh</t>
  </si>
  <si>
    <t>Huyện Yên Thành - Nghệ An</t>
  </si>
  <si>
    <t>Huyện Yên Phong - Bắc Ninh</t>
  </si>
  <si>
    <t>Huyện Vĩnh Bảo - Hải Phòng</t>
  </si>
  <si>
    <t>Quận Dương Kinh - Hải Phòng</t>
  </si>
  <si>
    <t>Thị xã Chí Linh - Hải Dương</t>
  </si>
  <si>
    <t>Huyện Văn Giang - Hưng Yên</t>
  </si>
  <si>
    <t>Huyện Phổ Yên - Thái Nguyên</t>
  </si>
  <si>
    <t>Thị xã Phú Thọ - Phú Thọ</t>
  </si>
  <si>
    <t>Huyện Yên Mỹ - Hưng Yên</t>
  </si>
  <si>
    <t>Huyện Tiên Lữ - Hưng Yên</t>
  </si>
  <si>
    <t>Huyện Quỳnh Phụ - Thái Bình</t>
  </si>
  <si>
    <t>Huyện Yên Thế - Bắc Giang</t>
  </si>
  <si>
    <t>Huyện Thanh Liêm - Hà Nam</t>
  </si>
  <si>
    <t>Huyện Vĩnh Lộc - Thanh Hóa</t>
  </si>
  <si>
    <t>Huyện Tĩnh Gia - Thanh Hóa</t>
  </si>
  <si>
    <t>Thị xã Nghĩa Lộ - Yên Bái</t>
  </si>
  <si>
    <t>Huyện Nghĩa Đàn - Nghệ An</t>
  </si>
  <si>
    <t>Huyện Thọ Xuân - Thanh Hóa</t>
  </si>
  <si>
    <t>Huyện Tiên Lãng - Hải Phòng</t>
  </si>
  <si>
    <t>Huyện Phú Bình - Thái Nguyên</t>
  </si>
  <si>
    <t>Huyện Phù Yên - Sơn La</t>
  </si>
  <si>
    <t>Huyện Thuận Châu - Sơn La</t>
  </si>
  <si>
    <t>Huyện Thường Xuân - Thanh Hóa</t>
  </si>
  <si>
    <t>Huyện Võ Nhai - Thái Nguyên</t>
  </si>
  <si>
    <t>Huyện Xín Mần - Hà Giang</t>
  </si>
  <si>
    <t>Huyện Sông Mã - Sơn La</t>
  </si>
  <si>
    <t>Huyện Tam Dương - Vĩnh Phúc</t>
  </si>
  <si>
    <t>Huyện Thái Thụy - Thái Bình</t>
  </si>
  <si>
    <t>Quận Đồ Sơn - Hải Phòng</t>
  </si>
  <si>
    <t>Huyện Tủa Chùa - Điện Biên</t>
  </si>
  <si>
    <t>Huyện Thanh Hà - Hải Dương</t>
  </si>
  <si>
    <t>Huyện Thanh Sơn - Phú Thọ</t>
  </si>
  <si>
    <t>Huyện Phù Ninh - Phú Thọ</t>
  </si>
  <si>
    <t>Huyện Sơn Tịnh - Quảng Ngãi</t>
  </si>
  <si>
    <t>Huyện Tư Nghĩa - Quảng Ngãi</t>
  </si>
  <si>
    <t>Huyện Điện Bàn - Quảng Nam</t>
  </si>
  <si>
    <t>Huyện Duy Xuyên - Quảng Nam</t>
  </si>
  <si>
    <t>Huyện Nghĩa Hành - Quảng Ngãi</t>
  </si>
  <si>
    <t>Thị xã Ba Đồn - Quảng Bình</t>
  </si>
  <si>
    <t>Huyện Hoài Nhơn - Bình Định</t>
  </si>
  <si>
    <t>Huyện Gio Linh - Quảng Trị</t>
  </si>
  <si>
    <t>Huyện Phù Cát - Bình Định</t>
  </si>
  <si>
    <t>Huyện Hướng Hóa - Quảng Trị</t>
  </si>
  <si>
    <t>Huyện Đức Phổ - Quảng Ngãi</t>
  </si>
  <si>
    <t>Huyện Đại Lộc - Quảng Nam</t>
  </si>
  <si>
    <t>Huyện Hương Khê - Hà Tĩnh</t>
  </si>
  <si>
    <t>Huyện Cam Lộ - Quảng Trị</t>
  </si>
  <si>
    <t>Huyện Bình Sơn - Quảng Ngãi</t>
  </si>
  <si>
    <t>Huyện Đức Thọ - Hà Tĩnh</t>
  </si>
  <si>
    <t>Huyện Núi Thành - Quảng Nam</t>
  </si>
  <si>
    <t>Huyện Lệ Thủy - Quảng Bình</t>
  </si>
  <si>
    <t>Huyện Quảng Ninh - Quảng Bình</t>
  </si>
  <si>
    <t>Thị xã Kỳ Anh - Hà Tĩnh</t>
  </si>
  <si>
    <t>Huyện Quế Sơn - Quảng Nam</t>
  </si>
  <si>
    <t>Huyện Phú Ninh - Quảng Nam</t>
  </si>
  <si>
    <t>Huyện Triệu Phong - Quảng Trị</t>
  </si>
  <si>
    <t>Huyện Thạch Hà - Hà Tĩnh</t>
  </si>
  <si>
    <t>Huyện Long Thành - Đồng Nai</t>
  </si>
  <si>
    <t>Huyện Cao Lãnh - Đồng Tháp</t>
  </si>
  <si>
    <t>Huyện Hòa Bình - Bạc Liêu</t>
  </si>
  <si>
    <t>Huyện Châu Thành - Tiền Giang</t>
  </si>
  <si>
    <t>Huyện Châu Thành - An Giang</t>
  </si>
  <si>
    <t>Huyện Diên Khánh - Khánh Hòa</t>
  </si>
  <si>
    <t>Huyện Mỹ Xuyên - Sóc Trăng</t>
  </si>
  <si>
    <t>Huyện Trảng Bàng - Tây Ninh</t>
  </si>
  <si>
    <t>Huyện Châu Thành - Bến Tre</t>
  </si>
  <si>
    <t>Huyện Lạc Dương - Lâm Đồng</t>
  </si>
  <si>
    <t>Huyện Châu Phú - An Giang</t>
  </si>
  <si>
    <t>Huyện Nhơn Trạch - Đồng Nai</t>
  </si>
  <si>
    <t>Huyện Chơn Thành - Bình Phước</t>
  </si>
  <si>
    <t>Huyện Mộc Hóa - Long An</t>
  </si>
  <si>
    <t>Huyện Vị Thuỷ - Hậu Giang</t>
  </si>
  <si>
    <t>Huyện Cần Giuộc - Long An</t>
  </si>
  <si>
    <t>Huyện Cái Bè - Tiền Giang</t>
  </si>
  <si>
    <t>Huyện Bù Đăng - Bình Phước</t>
  </si>
  <si>
    <t>Huyện Cái Nước - Cà Mau</t>
  </si>
  <si>
    <t>Huyện Bắc Bình - Bình Thuận</t>
  </si>
  <si>
    <t>Huyện Cầu Ngang - Trà Vinh</t>
  </si>
  <si>
    <t>Huyện An Biên - Kiên Giang</t>
  </si>
  <si>
    <t>Huyện Cam Lâm - Khánh Hòa</t>
  </si>
  <si>
    <t>Huyện Bàu Bàng - Bình Dương</t>
  </si>
  <si>
    <t>Huyện Châu Thành - Đồng Tháp</t>
  </si>
  <si>
    <t>Huyện Châu Thành - Tây Ninh</t>
  </si>
  <si>
    <t>Huyện Châu Thành - Sóc Trăng</t>
  </si>
  <si>
    <t>Huyện Giồng Riềng - Kiên Giang</t>
  </si>
  <si>
    <t>Huyện Hàm Thuận Nam - Bình Thuận</t>
  </si>
  <si>
    <t>Huyện Ea H leo - Đắk Lắk</t>
  </si>
  <si>
    <t>Huyện Châu Thành - Kiên Giang</t>
  </si>
  <si>
    <t>Huyện Hàm Thuận Bắc - Bình Thuận</t>
  </si>
  <si>
    <t>Huyện Gò Công Tây - Tiền Giang</t>
  </si>
  <si>
    <t>Huyện Chợ Gạo - Tiền Giang</t>
  </si>
  <si>
    <t>Huyện Châu Thành - Long An</t>
  </si>
  <si>
    <t>Huyện Gò Công Đông - Tiền Giang</t>
  </si>
  <si>
    <t>Huyện Đầm Dơi - Cà Mau</t>
  </si>
  <si>
    <t>Huyện Đắk Mil - Đắk Nông</t>
  </si>
  <si>
    <t>Huyện Dương Minh Châu - Tây Ninh</t>
  </si>
  <si>
    <t>Huyện Châu Thành A - Hậu Giang</t>
  </si>
  <si>
    <t>Huyện Chợ Mới - An Giang</t>
  </si>
  <si>
    <t>Huyện Châu Thành - Trà Vinh</t>
  </si>
  <si>
    <t>Huyện Lấp Vò - Đồng Tháp</t>
  </si>
  <si>
    <t>Huyện Kiên Lương - Kiên Giang</t>
  </si>
  <si>
    <t>Huyện Hòn Đất - Kiên Giang</t>
  </si>
  <si>
    <t>Huyện Mỏ Cày Bắc - Bến Tre</t>
  </si>
  <si>
    <t>Huyện Mỏ Cày Nam - Bến Tre</t>
  </si>
  <si>
    <t>Huyện Lộc Ninh - Bình Phước</t>
  </si>
  <si>
    <t>Huyện Kế Sách - Sóc Trăng</t>
  </si>
  <si>
    <t>Huyện Hồng Ngự - Đồng Tháp</t>
  </si>
  <si>
    <t>Huyện Lâm Hà - Lâm Đồng</t>
  </si>
  <si>
    <t>Huyện Hớn Quản - Bình Phước</t>
  </si>
  <si>
    <t>Huyện Tân Biên - Tây Ninh</t>
  </si>
  <si>
    <t>Huyện Ninh Sơn - Ninh Thuận</t>
  </si>
  <si>
    <t>Huyện Ninh Phước - Ninh Thuận</t>
  </si>
  <si>
    <t>Huyện Thoại Sơn - An Giang</t>
  </si>
  <si>
    <t>Huyện Ninh Hải - Ninh Thuận</t>
  </si>
  <si>
    <t>Huyện Tân Hiệp - Kiên Giang</t>
  </si>
  <si>
    <t>Huyện Phú Tân - An Giang</t>
  </si>
  <si>
    <t>Huyện Phụng Hiệp - Hậu Giang</t>
  </si>
  <si>
    <t>Huyện Tam Nông - Đồng Tháp</t>
  </si>
  <si>
    <t>Huyện Tân Trụ - Long An</t>
  </si>
  <si>
    <t>Huyện Thủ Thừa - Long An</t>
  </si>
  <si>
    <t>Huyện Phước Long - Bạc Liêu</t>
  </si>
  <si>
    <t>Thị xã Gò Công - Tiền Giang</t>
  </si>
  <si>
    <t>Thị Xã Sông Cầu - Phú Yên</t>
  </si>
  <si>
    <t>Huyện Tuy Phong - Bình Thuận</t>
  </si>
  <si>
    <t>Thành phố Bảo Lộc - Lâm Đồng</t>
  </si>
  <si>
    <t>Thị xã Ngã Bảy - Hậu Giang</t>
  </si>
  <si>
    <t>Thị xã Cai Lậy - Tiền Giang</t>
  </si>
  <si>
    <t>Huyện Tri Tôn - An Giang</t>
  </si>
  <si>
    <t>Thị xã Buôn Hồ - Đắk Lắk</t>
  </si>
  <si>
    <t>Thị xã Bình Minh - Vĩnh Long</t>
  </si>
  <si>
    <t>Huyện Tân Hồng - Đồng Tháp</t>
  </si>
  <si>
    <t>Huyện Trần Văn Thời - Cà Mau</t>
  </si>
  <si>
    <t>Huyện Tiểu Cần - Trà Vinh</t>
  </si>
  <si>
    <t>Huyện Vạn Ninh - Khánh Hòa</t>
  </si>
  <si>
    <t>Thị xã Ngã Năm - Sóc Trăng</t>
  </si>
  <si>
    <t>Huyện Trần Đề - Sóc Trăng</t>
  </si>
  <si>
    <t>Huyện Năm Căn - Cà Mau</t>
  </si>
  <si>
    <t>Huyện Vĩnh Lợi - Bạc Liêu</t>
  </si>
  <si>
    <t>Huyện Trà Lĩnh - Cao Bằng</t>
  </si>
  <si>
    <t>Quận Đặc Biệt - Hồ Chí Minh</t>
  </si>
  <si>
    <t>Huyện Đắk Song - Đắk Nông</t>
  </si>
  <si>
    <t>Huyện Quảng Trạch - Quảng Bình</t>
  </si>
  <si>
    <t>Huyện Đắk R lấp - Đắk Nông</t>
  </si>
  <si>
    <t>Huyện Phong Thổ - Lai Châu</t>
  </si>
  <si>
    <t>Huyện Tân Phước - Tiền Giang</t>
  </si>
  <si>
    <t>Huyện Ia Grai - Gia Lai</t>
  </si>
  <si>
    <t>Huyện Vụ Bản - Nam Định</t>
  </si>
  <si>
    <t>Huyện Tuy Phước - Bình Định</t>
  </si>
  <si>
    <t>Huyện Hải Lăng - Quảng Trị</t>
  </si>
  <si>
    <t>Huyện Mường Nhé - Điện Biên</t>
  </si>
  <si>
    <t>Huyện Đắk Glei - Kon Tum</t>
  </si>
  <si>
    <t>Huyện Đông Triều - Quảng Ninh</t>
  </si>
  <si>
    <t>Huyện Tây Hòa - Phú Yên</t>
  </si>
  <si>
    <t>Huyện Xuân Lộc - Đồng Nai</t>
  </si>
  <si>
    <t>Huyện Lục Yên - Yên Bái</t>
  </si>
  <si>
    <t>Huyện Bạch Thông - Bắc Kạn</t>
  </si>
  <si>
    <t>Huyện Đồng Văn - Hà Giang</t>
  </si>
  <si>
    <t>Huyện Trùng Khánh - Cao Bằng</t>
  </si>
  <si>
    <t>Huyện Cẩm Mỹ - Đồng Nai</t>
  </si>
  <si>
    <t>Huyện Phú Tân - Cà Mau</t>
  </si>
  <si>
    <t>Huyện Trấn Yên - Yên Bái</t>
  </si>
  <si>
    <t>Huyện Văn Yên - Yên Bái</t>
  </si>
  <si>
    <t>Huyện Vũng Liêm - Vĩnh Long</t>
  </si>
  <si>
    <t>Huyện Văn Chấn - Yên Bái</t>
  </si>
  <si>
    <t>Huyện Tiên Yên - Quảng Ninh</t>
  </si>
  <si>
    <t>Huyện Bình Đại - Bến Tre</t>
  </si>
  <si>
    <t>Huyện Đức Trọng - Lâm Đồng</t>
  </si>
  <si>
    <t>Huyện Thạch Thành - Thanh Hóa</t>
  </si>
  <si>
    <t>Huyện Chợ Mới - Bắc Kạn</t>
  </si>
  <si>
    <t>Huyện Chư Prông - Gia Lai</t>
  </si>
  <si>
    <t>Huyện Thạnh Phú - Bến Tre</t>
  </si>
  <si>
    <t>Huyện Krông Pắc - Đắk Lắk</t>
  </si>
  <si>
    <t>Huyện Tam Bình - Vĩnh Long</t>
  </si>
  <si>
    <t>Huyện Tháp Mười - Đồng Tháp</t>
  </si>
  <si>
    <t>Huyện Phục Hòa - Cao Bằng</t>
  </si>
  <si>
    <t>Huyện Vĩnh Thạnh - Bình Định</t>
  </si>
  <si>
    <t>Huyện Mỹ Tú - Sóc Trăng</t>
  </si>
  <si>
    <t>Huyện Di Linh - Lâm Đồng</t>
  </si>
  <si>
    <t>Huyện Yên Mô - Ninh Bình</t>
  </si>
  <si>
    <t>Huyện Ngân Sơn - Bắc Kạn</t>
  </si>
  <si>
    <t>Huyện Đông Sơn - Thanh Hóa</t>
  </si>
  <si>
    <t>Huyện Giồng Trôm - Bến Tre</t>
  </si>
  <si>
    <t>Huyện Krông Bông - Đắk Lắk</t>
  </si>
  <si>
    <t>Huyện Na Hang - Tuyên Quang</t>
  </si>
  <si>
    <t>Huyện Cai Lậy - Tiền Giang</t>
  </si>
  <si>
    <t>Huyện Long Mỹ - Hậu Giang</t>
  </si>
  <si>
    <t>Huyện Chư Sê - Gia Lai</t>
  </si>
  <si>
    <t>Huyện Mỹ Lộc - Nam Định</t>
  </si>
  <si>
    <t>Huyện Con Cuông - Nghệ An</t>
  </si>
  <si>
    <t>Huyện Sơn Dương - Tuyên Quang</t>
  </si>
  <si>
    <t>Huyện Tràng Định - Lạng Sơn</t>
  </si>
  <si>
    <t>Huyện Tân Châu - Tây Ninh</t>
  </si>
  <si>
    <t>Huyện Phù Mỹ - Bình Định</t>
  </si>
  <si>
    <t>Huyện Đồng Xuân - Phú Yên</t>
  </si>
  <si>
    <t>Huyện Phú Giáo - Bình Dương</t>
  </si>
  <si>
    <t>Huyện Kim Sơn - Ninh Bình</t>
  </si>
  <si>
    <t>Huyện Buôn Ðôn - Đắk Lắk</t>
  </si>
  <si>
    <t>Huyện Bố Trạch - Quảng Bình</t>
  </si>
  <si>
    <t>Huyện Na Rì - Bắc Kạn</t>
  </si>
  <si>
    <t>Huyện Tân Lạc - Hòa Bình</t>
  </si>
  <si>
    <t>Huyện Đạ Tẻh - Lâm Đồng</t>
  </si>
  <si>
    <t>Huyện Đắk Đoa - Gia Lai</t>
  </si>
  <si>
    <t>STT</t>
  </si>
  <si>
    <t>TG Kết Thúc G/H</t>
  </si>
  <si>
    <t>TG Kết Thúc L/H</t>
  </si>
  <si>
    <t>Thị xã Mường Lay - Điện Biên</t>
  </si>
  <si>
    <t>Huyện Thới Bình - Cà Mau</t>
  </si>
  <si>
    <t>Huyện Hồng Dân - Bạc Liêu</t>
  </si>
  <si>
    <t>Huyện Tân Sơn - Phú Thọ</t>
  </si>
  <si>
    <t>Huyện Mù Cang Chải - Yên Bái</t>
  </si>
  <si>
    <t>Huyện Bảo Lâm - Lâm Đồng</t>
  </si>
  <si>
    <t>Huyện Vị Xuyên - Hà Giang</t>
  </si>
  <si>
    <t>Huyện Tuy An - Phú Yên</t>
  </si>
  <si>
    <t>Huyện Đắk Glong - Đắk Nông</t>
  </si>
  <si>
    <t>Huyện đảo Phú Quốc - Kiên Giang</t>
  </si>
  <si>
    <t>Huyện Phú Hòa - Phú Yên</t>
  </si>
  <si>
    <t>Huyện Krông Nô - Đắk Nông</t>
  </si>
  <si>
    <t>Huyện Ngọc Hồi - Kon Tum</t>
  </si>
  <si>
    <t>Huyện Đắk Tô - Kon Tum</t>
  </si>
  <si>
    <t>Huyện Tánh Linh - Bình Thuận</t>
  </si>
  <si>
    <t>Huyện Đạ Huoai - Lâm Đồng</t>
  </si>
  <si>
    <t>Huyện Krông Pa - Gia Lai</t>
  </si>
  <si>
    <t>Huyện Tân Phú Đông - Tiền Giang</t>
  </si>
  <si>
    <t>Huyện Kon Rẫy - Kon Tum</t>
  </si>
  <si>
    <t>Huyện Sa Thầy - Kon Tum</t>
  </si>
  <si>
    <t>KL tính cước</t>
  </si>
  <si>
    <t>Huyện Ia Pa - Gia Lai</t>
  </si>
  <si>
    <t>Huyện An Lão - Bình Định</t>
  </si>
  <si>
    <t>Huyện Hoài Ân - Bình Định</t>
  </si>
  <si>
    <t>Cước giao</t>
  </si>
  <si>
    <t>Tổng cước</t>
  </si>
  <si>
    <t>Trả hàng</t>
  </si>
  <si>
    <t>Hà Giang</t>
  </si>
  <si>
    <t>Hà Nội</t>
  </si>
  <si>
    <t>Huyện Cư Kuin - Đắk Lắk</t>
  </si>
  <si>
    <t>Kiên Giang</t>
  </si>
  <si>
    <t>Tây Ninh</t>
  </si>
  <si>
    <t>Tỉnh</t>
  </si>
  <si>
    <t>Khu vực</t>
  </si>
  <si>
    <t>Đà Nẵng</t>
  </si>
  <si>
    <t>Hồ Chí Minh</t>
  </si>
  <si>
    <t>Hải Phòng</t>
  </si>
  <si>
    <t>Bắc Ninh</t>
  </si>
  <si>
    <t>Bắc Kạn</t>
  </si>
  <si>
    <t>Huyện Ba Bể - Bắc Kạn</t>
  </si>
  <si>
    <t>Bắc Giang</t>
  </si>
  <si>
    <t>Điện Biên</t>
  </si>
  <si>
    <t>Cao Bằng</t>
  </si>
  <si>
    <t>Huyện Quản Bạ - Hà Giang</t>
  </si>
  <si>
    <t>Huyện Quang Bình - Hà Giang</t>
  </si>
  <si>
    <t>Hà Nam</t>
  </si>
  <si>
    <t>Hải Dương</t>
  </si>
  <si>
    <t>Hưng Yên</t>
  </si>
  <si>
    <t>Lào Cai</t>
  </si>
  <si>
    <t>Lạng Sơn</t>
  </si>
  <si>
    <t>Lai Châu</t>
  </si>
  <si>
    <t>Nam Định</t>
  </si>
  <si>
    <t>Ninh Bình</t>
  </si>
  <si>
    <t>Nghệ An</t>
  </si>
  <si>
    <t>Phú Thọ</t>
  </si>
  <si>
    <t>Quảng Ninh</t>
  </si>
  <si>
    <t>Sơn La</t>
  </si>
  <si>
    <t>Tuyên Quang</t>
  </si>
  <si>
    <t>Thái Bình</t>
  </si>
  <si>
    <t>Thái Nguyên</t>
  </si>
  <si>
    <t>Thanh Hóa</t>
  </si>
  <si>
    <t>Vĩnh Phúc</t>
  </si>
  <si>
    <t>Yên Bái</t>
  </si>
  <si>
    <t>Hà Tĩnh</t>
  </si>
  <si>
    <t>Quảng Bình</t>
  </si>
  <si>
    <t>Quảng Trị</t>
  </si>
  <si>
    <t>Quảng Nam</t>
  </si>
  <si>
    <t>Quảng Ngãi</t>
  </si>
  <si>
    <t>An Giang</t>
  </si>
  <si>
    <t>Bà Rịa – Vũng Tàu</t>
  </si>
  <si>
    <t>Bạc Liêu</t>
  </si>
  <si>
    <t>Bến Tre</t>
  </si>
  <si>
    <t>Bình Dương</t>
  </si>
  <si>
    <t>Bình Định</t>
  </si>
  <si>
    <t>Bình Phước</t>
  </si>
  <si>
    <t>Bình Thuận</t>
  </si>
  <si>
    <t>Cà Mau</t>
  </si>
  <si>
    <t>Cần Thơ</t>
  </si>
  <si>
    <t>Đắk Lắk</t>
  </si>
  <si>
    <t>Đắk Nông</t>
  </si>
  <si>
    <t>Đồng Nai</t>
  </si>
  <si>
    <t>Đồng Tháp</t>
  </si>
  <si>
    <t>Gia Lai</t>
  </si>
  <si>
    <t>Hậu Giang</t>
  </si>
  <si>
    <t>Kon Tum</t>
  </si>
  <si>
    <t>Lâm Đồng</t>
  </si>
  <si>
    <t>Long An</t>
  </si>
  <si>
    <t>Ninh Thuận</t>
  </si>
  <si>
    <t>Phú Yên</t>
  </si>
  <si>
    <t>Sóc Trăng</t>
  </si>
  <si>
    <t>Huyện Long Phú - Sóc Trăng</t>
  </si>
  <si>
    <t>Tiền Giang</t>
  </si>
  <si>
    <t>Trà Vinh</t>
  </si>
  <si>
    <t>Vĩnh Long</t>
  </si>
  <si>
    <t>Huyện Đức Cơ - Gia Lai</t>
  </si>
  <si>
    <t>Huyện Tứ Kỳ - Hải Dương</t>
  </si>
  <si>
    <t>Huyện Hoành Bồ - Quảng Ninh</t>
  </si>
  <si>
    <t>Huyện Thanh Bình - Đồng Tháp</t>
  </si>
  <si>
    <t>Huyện Yên Bình - Yên Bái</t>
  </si>
  <si>
    <t>Huyện Yên Minh - Hà Giang</t>
  </si>
  <si>
    <t>Huyện Giao Thủy - Nam Định</t>
  </si>
  <si>
    <t>Huyện Vĩnh Linh - Quảng Trị</t>
  </si>
  <si>
    <t>Huyện Thiệu Hóa - Thanh Hóa</t>
  </si>
  <si>
    <t>Huyện Thanh Chương - Nghệ An</t>
  </si>
  <si>
    <t>Huyện An Minh - Kiên Giang</t>
  </si>
  <si>
    <t>Huyện Kim Bôi - Hòa Bình</t>
  </si>
  <si>
    <t>Huyện Kiến Thụy - Hải Phòng</t>
  </si>
  <si>
    <t>Huyện Trà Ôn - Vĩnh Long</t>
  </si>
  <si>
    <t>Huyện Vĩnh Thuận - Kiên Giang</t>
  </si>
  <si>
    <t>Huyện Đức Linh - Bình Thuận</t>
  </si>
  <si>
    <t>Huyện Cẩm Xuyên - Hà Tĩnh</t>
  </si>
  <si>
    <t>Huyện Cù Lao Dung - Sóc Trăng</t>
  </si>
  <si>
    <t>Huyện Sơn Hà - Quảng Ngãi</t>
  </si>
  <si>
    <t>Huyện Nghi Xuân - Hà Tĩnh</t>
  </si>
  <si>
    <t>Huyện Bắc Mê - Hà Giang</t>
  </si>
  <si>
    <t>Huyện Hàm Tân - Bình Thuận</t>
  </si>
  <si>
    <t>Huyện Lang Chánh - Thanh Hóa</t>
  </si>
  <si>
    <t>Huyện Cầu Kè - Trà Vinh</t>
  </si>
  <si>
    <t>Thị xã Vĩnh Châu - Sóc Trăng</t>
  </si>
  <si>
    <t>Huyện Mang Thít - Vĩnh Long</t>
  </si>
  <si>
    <t>Huyện Gò Quao - Kiên Giang</t>
  </si>
  <si>
    <t>Huyện Nông Cống - Thanh Hóa</t>
  </si>
  <si>
    <t>Huyện Đam Rông - Lâm Đồng</t>
  </si>
  <si>
    <t>Huyện Yên Lập - Phú Thọ</t>
  </si>
  <si>
    <t>Huyện Duyên Hải - Trà Vinh</t>
  </si>
  <si>
    <t>Huyện Hiệp Đức - Quảng Nam</t>
  </si>
  <si>
    <t>Huyện Tiên Phước - Quảng Nam</t>
  </si>
  <si>
    <t>Huyện Lạc Sơn - Hòa Bình</t>
  </si>
  <si>
    <t>Huyện U Minh - Cà Mau</t>
  </si>
  <si>
    <t>Huyện Hải Hậu - Nam Định</t>
  </si>
  <si>
    <t>Huyện Vĩnh Thạnh - Cần Thơ</t>
  </si>
  <si>
    <t>Huyện Mang Yang - Gia Lai</t>
  </si>
  <si>
    <t>Huyện Bù Gia Mập - Bình Phước</t>
  </si>
  <si>
    <t>Huyện Đắk Hà - Kon Tum</t>
  </si>
  <si>
    <t>Huyện Chợ Lách - Bến Tre</t>
  </si>
  <si>
    <t>Huyện Phú Lương - Thái Nguyên</t>
  </si>
  <si>
    <t>Huyện Vân Canh - Bình Định</t>
  </si>
  <si>
    <t>Huyện Bù Đốp - Bình Phước</t>
  </si>
  <si>
    <t>Huyện Điện Biên - Điện Biên</t>
  </si>
  <si>
    <t>Huyện Krông Năng - Đắk Lắk</t>
  </si>
  <si>
    <t>Huyện Lạc Thủy - Hòa Bình</t>
  </si>
  <si>
    <t>Huyện Trà Bồng - Quảng Ngãi</t>
  </si>
  <si>
    <t>Huyện Tam Nông - Phú Thọ</t>
  </si>
  <si>
    <t>Huyện Sơn Tây - Quảng Ngãi</t>
  </si>
  <si>
    <t>Huyện Nam Giang - Quảng Nam</t>
  </si>
  <si>
    <t>Huyện Sông Hinh - Phú Yên</t>
  </si>
  <si>
    <t>Huyện Xuân Trường - Nam Định</t>
  </si>
  <si>
    <t>Huyện Bình Tân - Vĩnh Long</t>
  </si>
  <si>
    <t>Huyện Quỳ Hợp - Nghệ An</t>
  </si>
  <si>
    <t>Huyện Hương Sơn - Hà Tĩnh</t>
  </si>
  <si>
    <t>Huyện Triệu Sơn - Thanh Hóa</t>
  </si>
  <si>
    <t>Huyện Nguyên Bình - Cao Bằng</t>
  </si>
  <si>
    <t>Huyện Chiêm Hóa - Tuyên Quang</t>
  </si>
  <si>
    <t>Huyện Sông Lô - Vĩnh Phúc</t>
  </si>
  <si>
    <t>Huyện Tiền Hải - Thái Bình</t>
  </si>
  <si>
    <t>Huyện Đông Hòa - Phú Yên</t>
  </si>
  <si>
    <t>Huyện Tây Sơn - Bình Định</t>
  </si>
  <si>
    <t>Huyện Quan Hóa - Thanh Hóa</t>
  </si>
  <si>
    <t>Huyện Phước Sơn - Quảng Nam</t>
  </si>
  <si>
    <t>Huyện Krông Búk - Đắk Lắk</t>
  </si>
  <si>
    <t>Huyện Đông Hải - Bạc Liêu</t>
  </si>
  <si>
    <t>Huyện Mường Ảng - Điện Biên</t>
  </si>
  <si>
    <t>Huyện Phù Cừ - Hưng Yên</t>
  </si>
  <si>
    <t>Huyện Khánh Sơn - Khánh Hòa</t>
  </si>
  <si>
    <t>Huyện Hàm Yên - Tuyên Quang</t>
  </si>
  <si>
    <t>Huyện Trực Ninh - Nam Định</t>
  </si>
  <si>
    <t>Huyện Kbang - Gia Lai</t>
  </si>
  <si>
    <t>Huyện Bảo Yên - Lào Cai</t>
  </si>
  <si>
    <t>Huyện Ninh Giang - Hải Dương</t>
  </si>
  <si>
    <t>Huyện Quan Sơn - Thanh Hóa</t>
  </si>
  <si>
    <t>Huyện Can Lộc - Hà Tĩnh</t>
  </si>
  <si>
    <t>Huyện Than Uyên - Lai Châu</t>
  </si>
  <si>
    <t>Huyện Lắk - Đắk Lắk</t>
  </si>
  <si>
    <t>Huyện Quỳnh Nhai - Sơn La</t>
  </si>
  <si>
    <t>Huyện Bắc Trà My - Quảng Nam</t>
  </si>
  <si>
    <t>Huyện Nga Sơn - Thanh Hóa</t>
  </si>
  <si>
    <t>Huyện Nam Đàn - Nghệ An</t>
  </si>
  <si>
    <t>Huyện Tuần Giáo - Điện Biên</t>
  </si>
  <si>
    <t>Huyện Sơn Hòa - Phú Yên</t>
  </si>
  <si>
    <t>Huyện đảo Phú Quý - Bình Thuận</t>
  </si>
  <si>
    <t>Huyện Thạnh Trị - Sóc Trăng</t>
  </si>
  <si>
    <t>Huyện Cát Tiên - Lâm Đồng</t>
  </si>
  <si>
    <t>Huyện Bảo Lạc - Cao Bằng</t>
  </si>
  <si>
    <t>Huyện Trạm Tấu - Yên Bái</t>
  </si>
  <si>
    <t>Huyện Điện Biên Đông - Điện Biên</t>
  </si>
  <si>
    <t>Huyện Cư Jút - Đắk Nông</t>
  </si>
  <si>
    <t>Huyện Lộc Hà - Hà Tĩnh</t>
  </si>
  <si>
    <t>Huyện Chư Păh - Gia Lai</t>
  </si>
  <si>
    <t>Huyện U Minh Thượng - Kiên Giang</t>
  </si>
  <si>
    <t>Huyện Minh Long - Quảng Ngãi</t>
  </si>
  <si>
    <t>Huyện Chi Lăng - Lạng Sơn</t>
  </si>
  <si>
    <t>Huyện Nghĩa Hưng - Nam Định</t>
  </si>
  <si>
    <t>Huyện Gia Viễn - Ninh Bình</t>
  </si>
  <si>
    <t>Huyện Như Xuân - Thanh Hóa</t>
  </si>
  <si>
    <t>Huyện Tuy Đức - Đắk Nông</t>
  </si>
  <si>
    <t>Huyện Yên Thủy - Hòa Bình</t>
  </si>
  <si>
    <t>Huyện Quỳ Châu - Nghệ An</t>
  </si>
  <si>
    <t>Huyện Càng Long - Trà Vinh</t>
  </si>
  <si>
    <t>Huyện Mai Châu - Hòa Bình</t>
  </si>
  <si>
    <t>Huyện Bác Ái - Ninh Thuận</t>
  </si>
  <si>
    <t>Huyện Phú Riềng - Bình Phước</t>
  </si>
  <si>
    <t>Huyện Lương Sơn - Hòa Bình</t>
  </si>
  <si>
    <t>Huyện Yên Châu - Sơn La</t>
  </si>
  <si>
    <t>Huyện Ngọc Lặc - Thanh Hóa</t>
  </si>
  <si>
    <t>Huyện Ý Yên - Nam Định</t>
  </si>
  <si>
    <t>Huyện Bắc Tân Uyên - Bình Dương</t>
  </si>
  <si>
    <t>Huyện Mường Tè - Lai Châu</t>
  </si>
  <si>
    <t>Huyện Đa Krông - Quảng Trị</t>
  </si>
  <si>
    <t>Huyện Khánh Vĩnh - Khánh Hòa</t>
  </si>
  <si>
    <t>Huyện Như Thanh - Thanh Hóa</t>
  </si>
  <si>
    <t>Huyện Quảng Uyên - Cao Bằng</t>
  </si>
  <si>
    <t>Huyện Phú Thiện - Gia Lai</t>
  </si>
  <si>
    <t>Huyện Bá Thước - Thanh Hóa</t>
  </si>
  <si>
    <t>Huyện Chư Pưh - Gia Lai</t>
  </si>
  <si>
    <t>Huyện Tây Giang - Quảng Nam</t>
  </si>
  <si>
    <t>Huyện Tân Kỳ - Nghệ An</t>
  </si>
  <si>
    <t>Huyện Đức Huệ - Long An</t>
  </si>
  <si>
    <t>Huyện đảo Cô Tô - Quảng Ninh</t>
  </si>
  <si>
    <t>Huyện Yên Định - Thanh Hóa</t>
  </si>
  <si>
    <t>Huyện Bình Gia - Lạng Sơn</t>
  </si>
  <si>
    <t>Huyện Cẩm Thủy - Thanh Hóa</t>
  </si>
  <si>
    <t>Huyện Cao Phong - Hòa Bình</t>
  </si>
  <si>
    <t>Huyện Kon Plông - Kon Tum</t>
  </si>
  <si>
    <t>Huyện Bắc Sơn - Lạng Sơn</t>
  </si>
  <si>
    <t>Huyện Ea Súp - Đắk Lắk</t>
  </si>
  <si>
    <t>Huyện Tam Đảo - Vĩnh Phúc</t>
  </si>
  <si>
    <t>Huyện Giang Thành - Kiên Giang</t>
  </si>
  <si>
    <t>Huyện Nghi Lộc - Nghệ An</t>
  </si>
  <si>
    <t>Huyện Mường Khương - Lào Cai</t>
  </si>
  <si>
    <t>Huyện Đà Bắc - Hòa Bình</t>
  </si>
  <si>
    <t>Huyện Thanh Thủy - Phú Thọ</t>
  </si>
  <si>
    <t>Huyện Đình Lập - Lạng Sơn</t>
  </si>
  <si>
    <t>Huyện Bắc Hà - Lào Cai</t>
  </si>
  <si>
    <t>Hòa Bình</t>
  </si>
  <si>
    <t>Huyện Mường Lát - Thanh Hóa</t>
  </si>
  <si>
    <t>Huyện Pác Nặm - Bắc Kạn</t>
  </si>
  <si>
    <t>Huyện Thông Nông - Cao Bằng</t>
  </si>
  <si>
    <t>Huyện Kông Chro - Gia Lai</t>
  </si>
  <si>
    <t>Huyện Đắk Pơ - Gia Lai</t>
  </si>
  <si>
    <t>Thị xã Long Mỹ - Hậu Giang</t>
  </si>
  <si>
    <t>Huyện Châu Thành - Hậu Giang</t>
  </si>
  <si>
    <t>Khánh Hòa</t>
  </si>
  <si>
    <t>Huyện Ia H Drai - Kon Tum</t>
  </si>
  <si>
    <t>Huyện Kỳ Sơn - Nghệ An</t>
  </si>
  <si>
    <t>Huyện Thuận Nam - Ninh Thuận</t>
  </si>
  <si>
    <t>Huyện Đông Giang - Quảng Nam</t>
  </si>
  <si>
    <t>Huyện Nam Trà My - Quảng Nam</t>
  </si>
  <si>
    <t>Huyện Tây Trà - Quảng Ngãi</t>
  </si>
  <si>
    <t>Huyện Ba Tơ - Quảng Ngãi</t>
  </si>
  <si>
    <t>Huyện Vân Hồ - Sơn La</t>
  </si>
  <si>
    <t>Thị xã Duyên Hải - Trà Vinh</t>
  </si>
  <si>
    <t>Huyện Sơn Động - Bắc Giang</t>
  </si>
  <si>
    <t>Huyện Hà Quảng - Cao Bằng</t>
  </si>
  <si>
    <t>Huyện Thạch An - Cao Bằng</t>
  </si>
  <si>
    <t>Huyện Hạ Lang - Cao Bằng</t>
  </si>
  <si>
    <t>Huyện Vũ Quang - Hà Tĩnh</t>
  </si>
  <si>
    <t>Huyện Kỳ Anh - Hà Tĩnh</t>
  </si>
  <si>
    <t>Huyện Kỳ Sơn - Hòa Bình</t>
  </si>
  <si>
    <t>Huyện Sìn Hồ - Lai Châu</t>
  </si>
  <si>
    <t>Huyện Tam Đường - Lai Châu</t>
  </si>
  <si>
    <t>Huyện Văn Quan - Lạng Sơn</t>
  </si>
  <si>
    <t>Huyện Văn Lãng - Lạng Sơn</t>
  </si>
  <si>
    <t>Huyện Văn Bàn - Lào Cai</t>
  </si>
  <si>
    <t>Huyện Tương Dương - Nghệ An</t>
  </si>
  <si>
    <t>Huyện Thanh Ba - Phú Thọ</t>
  </si>
  <si>
    <t>Huyện Ba Chẽ - Quảng Ninh</t>
  </si>
  <si>
    <t>Huyện Đầm Hà - Quảng Ninh</t>
  </si>
  <si>
    <t>huyện Sốp Cộp - Sơn La</t>
  </si>
  <si>
    <t>Huyện Bắc Yên - Sơn La</t>
  </si>
  <si>
    <t>Huyện Thuận Bắc - Ninh Thuận</t>
  </si>
  <si>
    <t>Huyện Mường La - Sơn La</t>
  </si>
  <si>
    <t>Huyện Thanh Miện - Hải Dương</t>
  </si>
  <si>
    <t>Huyện Quỳnh Lưu - Nghệ An</t>
  </si>
  <si>
    <t>Huyện Bảo Thắng - Lào Cai</t>
  </si>
  <si>
    <t>Huyện Quế Phong - Nghệ An</t>
  </si>
  <si>
    <t>Huyện Nông Sơn - Quảng Nam</t>
  </si>
  <si>
    <t>Huyện Tuyên Hóa - Quảng Bình</t>
  </si>
  <si>
    <t>Quận Đặc Biệt - Hà Nội</t>
  </si>
  <si>
    <t>Huyện Minh Hóa - Quảng Bình</t>
  </si>
  <si>
    <t>Huyện Mộ Đức - Quảng Ngãi</t>
  </si>
  <si>
    <t>KL tăng kg</t>
  </si>
  <si>
    <t>Cước thường</t>
  </si>
  <si>
    <t>So sánh</t>
  </si>
  <si>
    <t>Huyện Thăng Bình - Quảng Nam</t>
  </si>
  <si>
    <t>Quận Đặc Biệt DC - Hồ Chí Minh</t>
  </si>
  <si>
    <t>Mã Shop</t>
  </si>
  <si>
    <t>Mã PH</t>
  </si>
  <si>
    <t>Tuyến</t>
  </si>
  <si>
    <t>TIKI</t>
  </si>
  <si>
    <t>Huyện Cần Giờ - Hồ Chí Minh</t>
  </si>
  <si>
    <t>Tiki note</t>
  </si>
  <si>
    <t>GHN note</t>
  </si>
  <si>
    <t>Mức cước</t>
  </si>
  <si>
    <t xml:space="preserve">Cước trả </t>
  </si>
  <si>
    <t>Kho lấy</t>
  </si>
  <si>
    <t>Khu vực 1</t>
  </si>
  <si>
    <t>Phí vận chuyển</t>
  </si>
  <si>
    <t xml:space="preserve">Kho bàn giao </t>
  </si>
  <si>
    <t>Kho đến</t>
  </si>
  <si>
    <t>MATCH</t>
  </si>
  <si>
    <t>Cước Luân chuyển</t>
  </si>
  <si>
    <t>Cước hệ thống</t>
  </si>
  <si>
    <t>Huyện Phú Vang - Thừa Thiên - Huế</t>
  </si>
  <si>
    <t>Thị Xã Phú Mỹ - Bà Rịa - Vũng Tàu</t>
  </si>
  <si>
    <t>Huyện đảo Côn Đảo - Bà Rịa - Vũng Tàu</t>
  </si>
  <si>
    <t>Huyện Châu Đức - Bà Rịa - Vũng Tàu</t>
  </si>
  <si>
    <t>Huyện Phong Điền - Thừa Thiên - Huế</t>
  </si>
  <si>
    <t>Thị xã Hương Trà - Thừa Thiên - Huế</t>
  </si>
  <si>
    <t>Huyện Nam Đông - Thừa Thiên - Huế</t>
  </si>
  <si>
    <t>Thành phố Huế - Thừa Thiên - Huế</t>
  </si>
  <si>
    <t>Thành phố Vũng Tàu - Bà Rịa - Vũng Tàu</t>
  </si>
  <si>
    <t>Huyện A Lưới - Thừa Thiên - Huế</t>
  </si>
  <si>
    <t>Huyện Xuyên Mộc - Bà Rịa - Vũng Tàu</t>
  </si>
  <si>
    <t>Thành phố Bà Rịa - Bà Rịa - Vũng Tàu</t>
  </si>
  <si>
    <t>Thị xã Hương Thủy - Thừa Thiên - Huế</t>
  </si>
  <si>
    <t>Huyện Long Điền - Bà Rịa - Vũng Tàu</t>
  </si>
  <si>
    <t>Huyện Đất Đỏ - Bà Rịa - Vũng Tàu</t>
  </si>
  <si>
    <t>Huyện Quảng Điền - Thừa Thiên - Huế</t>
  </si>
  <si>
    <t>Huyện Phú Lộc - Thừa Thiên - Huế</t>
  </si>
  <si>
    <t>Khu vực giao</t>
  </si>
  <si>
    <t>Thành phố Phan Rang - Tháp Chàm - Ninh Thuận</t>
  </si>
  <si>
    <t>Huyện đảo Lý Sơn - Quảng Ngãi</t>
  </si>
  <si>
    <t>Khu vực lấy</t>
  </si>
  <si>
    <t>Khu Vực</t>
  </si>
  <si>
    <t>HCM-Tiki</t>
  </si>
  <si>
    <t>HN-Tiki</t>
  </si>
  <si>
    <t>Kho lấy hàng Tiki_Hồ Chí Minh</t>
  </si>
  <si>
    <t>KV2 Bưu cục 10 Bên Nghé - Huế</t>
  </si>
  <si>
    <t>Tỉnh - Thành phố</t>
  </si>
  <si>
    <t>Bà Rịa Vũng Tàu</t>
  </si>
  <si>
    <t>Khu vực 3</t>
  </si>
  <si>
    <t>Đăk Lăk</t>
  </si>
  <si>
    <t>Đăk Nông</t>
  </si>
  <si>
    <t>Khu vực 2</t>
  </si>
  <si>
    <t>Thừa Thiên Huế</t>
  </si>
  <si>
    <t>3 Ngày</t>
  </si>
  <si>
    <t>KL thay đổi</t>
  </si>
  <si>
    <t>Thời gian</t>
  </si>
  <si>
    <t>Huyện Nậm Pồ - Điện Biên</t>
  </si>
  <si>
    <t>Huyện đảo Kiên Hải - Kiên Giang</t>
  </si>
  <si>
    <t>Huyện Ngọc Hiển - Cà Mau</t>
  </si>
  <si>
    <t>Quận Đặc Biệt - Hưng Yên</t>
  </si>
  <si>
    <t>Kho 3C Unidepot, số 9 đường Nguyễn Văn Tạo, Long Thới, Nhà Bè, TPHCM</t>
  </si>
  <si>
    <t>Tuần 4</t>
  </si>
  <si>
    <t>RMA10406429-355498150</t>
  </si>
  <si>
    <t>1898 - Bưu Cục 162 Huỳnh Thúc Kháng</t>
  </si>
  <si>
    <t>RMA10580956-512262188</t>
  </si>
  <si>
    <t>1152 - Bưu Cục Lê Anh Xuân</t>
  </si>
  <si>
    <t>Bưu Cục 21 Đặng Văn Ngữ</t>
  </si>
  <si>
    <t>Bưu Cục 254 - 256 Âu Cơ</t>
  </si>
  <si>
    <t>Bưu Cục 350 Ngũ Hành Sơn</t>
  </si>
  <si>
    <t>Bưu Cục 77 Nguyễn Phước Thái</t>
  </si>
  <si>
    <t>Bưu Cục Hòa Vang</t>
  </si>
  <si>
    <t>Kho Trung Chuyển Đà Nẵng</t>
  </si>
  <si>
    <t>Bưu Cục 107 Nguyễn Chí Thanh</t>
  </si>
  <si>
    <t>Bưu Cục 108 Kim Bài</t>
  </si>
  <si>
    <t>Bưu Cục 114 Yên Lãng</t>
  </si>
  <si>
    <t>Bưu Cục 124 Phan Bá Vành</t>
  </si>
  <si>
    <t>Bưu Cục 124 Trịnh Văn Bô</t>
  </si>
  <si>
    <t>Bưu Cục 129T Nguyễn Trãi</t>
  </si>
  <si>
    <t>Bưu Cục 16 Tiền Huân</t>
  </si>
  <si>
    <t>Bưu Cục 173 Đồng Cam</t>
  </si>
  <si>
    <t>Bưu Cục 174 Cao Lỗ</t>
  </si>
  <si>
    <t>Bưu Cục 187 Giảng Võ 1</t>
  </si>
  <si>
    <t>Bưu Cục 187 Giảng Võ 2</t>
  </si>
  <si>
    <t>Bưu Cục 187 Giảng Võ 3</t>
  </si>
  <si>
    <t>Bưu Cục 188 Nguyễn Ngọc Nại</t>
  </si>
  <si>
    <t>Bưu Cục 211 Lạc long Quân</t>
  </si>
  <si>
    <t>Bưu Cục 221 Kim Ngưu</t>
  </si>
  <si>
    <t>Bưu Cục 23 ngõ 164 Ỷ La</t>
  </si>
  <si>
    <t>Bưu Cục 25 Trương Định 1</t>
  </si>
  <si>
    <t>Bưu Cục 25 Trương Định 2</t>
  </si>
  <si>
    <t>Bưu Cục 263 Phố Vọng</t>
  </si>
  <si>
    <t>Bưu Cục 275 Khâm Thiên</t>
  </si>
  <si>
    <t>Bưu Cục 299 Trung Kính</t>
  </si>
  <si>
    <t>Bưu Cục 325 Trần Cung</t>
  </si>
  <si>
    <t>Bưu Cục 397 Nguyễn Khang</t>
  </si>
  <si>
    <t>Bưu Cục 464 Âu Cơ</t>
  </si>
  <si>
    <t>Bưu Cục 482 Đội Cấn</t>
  </si>
  <si>
    <t>Bưu Cục 51 Tây Đằng</t>
  </si>
  <si>
    <t>Bưu Cục 54 Nguyễn Văn Hưởng</t>
  </si>
  <si>
    <t>Bưu Cục 54 Thạch Cầu</t>
  </si>
  <si>
    <t>Bưu Cục 551 Quang Trung</t>
  </si>
  <si>
    <t>Bưu Cục 57 Hạ Đình</t>
  </si>
  <si>
    <t>Bưu Cục 6/318  Ngọc Trì</t>
  </si>
  <si>
    <t>Bưu Cục 644 Nguyễn Văn Cừ</t>
  </si>
  <si>
    <t>Bưu Cục 8 Đình Nguyên</t>
  </si>
  <si>
    <t>Bưu Cục 88 Nguyễn Khánh Toàn</t>
  </si>
  <si>
    <t>Bưu Cục 97 Thiên Hiền</t>
  </si>
  <si>
    <t>Bưu Cục Đông Anh</t>
  </si>
  <si>
    <t>Bưu Cục Hoài Đức</t>
  </si>
  <si>
    <t>Kho Khách hàng lớn Hà Nội</t>
  </si>
  <si>
    <t>Kho Trung chuyển Hà Nội 02</t>
  </si>
  <si>
    <t>Kho Trung chuyển Hà Nội 15</t>
  </si>
  <si>
    <t>Bưu Cục Long Phụng</t>
  </si>
  <si>
    <t>Bưu Cục Mê Linh</t>
  </si>
  <si>
    <t>Bưu Cục Mỹ Đức</t>
  </si>
  <si>
    <t>Bưu Cục Phú Xuyên</t>
  </si>
  <si>
    <t>Bưu Cục Phúc Thọ</t>
  </si>
  <si>
    <t>Bưu Cục Quốc Oai</t>
  </si>
  <si>
    <t>Bưu Cục Sóc Sơn</t>
  </si>
  <si>
    <t>Bưu Cục Tân Tiến</t>
  </si>
  <si>
    <t>Bưu Cục Thanh Oai</t>
  </si>
  <si>
    <t>Bưu Cục Thanh Trì</t>
  </si>
  <si>
    <t>Bưu Cục Thường Tín</t>
  </si>
  <si>
    <t>Bưu Cục Trâu Quỳ</t>
  </si>
  <si>
    <t>Bưu Cục Ứng Hòa</t>
  </si>
  <si>
    <t>Bưu Cục 119 Nguyễn Văn Luông</t>
  </si>
  <si>
    <t>Bưu Cục 128 Đồng Nai 1</t>
  </si>
  <si>
    <t>Bưu Cục 128 Đồng Nai 2</t>
  </si>
  <si>
    <t>Bưu Cục 1284 Quang Trung</t>
  </si>
  <si>
    <t>Bưu Cục 152 Phạm Phú Thứ 1</t>
  </si>
  <si>
    <t>Bưu Cục 152 Phạm Phú Thứ 2</t>
  </si>
  <si>
    <t>Bưu Cục 16A Lê Hồng Phong 1</t>
  </si>
  <si>
    <t>Bưu Cục 16A Lê Hồng Phong 2</t>
  </si>
  <si>
    <t>Bưu Cục 16A Lê Hồng Phong 3</t>
  </si>
  <si>
    <t>Bưu Cục 16A Lê Hồng Phong 4</t>
  </si>
  <si>
    <t>Bưu Cục 2 Bis Nguyễn Thị Minh Khai 1</t>
  </si>
  <si>
    <t>Bưu Cục 2 Bis Nguyễn Thị Minh Khai 2</t>
  </si>
  <si>
    <t>Bưu Cục 2 Nguyễn Hới</t>
  </si>
  <si>
    <t>Bưu Cục 20/82-84 Bờ Bao Tân Thắng</t>
  </si>
  <si>
    <t>Bưu Cục 219 Nơ Trang Long 1</t>
  </si>
  <si>
    <t>Bưu Cục 219 Nơ Trang Long 2</t>
  </si>
  <si>
    <t>Bưu Cục 219 Nơ Trang Long 3</t>
  </si>
  <si>
    <t>Bưu Cục 235 Phạm Hùng</t>
  </si>
  <si>
    <t>Bưu Cục 242 Tỉnh Lộ 2</t>
  </si>
  <si>
    <t>Bưu Cục 252 Minh Phụng</t>
  </si>
  <si>
    <t>Bưu Cục 271 Đỗ Xuân Hợp</t>
  </si>
  <si>
    <t>Bưu Cục 291 Nguyễn Sơn</t>
  </si>
  <si>
    <t>Bưu Cục 29A Đường Số 5</t>
  </si>
  <si>
    <t>Bưu Cục 3/38 Bạch Đằng</t>
  </si>
  <si>
    <t>Bưu Cục 301C Bến Bình Đông 1</t>
  </si>
  <si>
    <t>Bưu Cục 301C Bến Bình Đông 2</t>
  </si>
  <si>
    <t>Bưu Cục 327E Lê Văn Qưới</t>
  </si>
  <si>
    <t>Bưu Cục 353A Nguyễn Thái Bình 1</t>
  </si>
  <si>
    <t>Bưu Cục 37/6 Trần Thị Hè</t>
  </si>
  <si>
    <t>Bưu Cục 37 Bế Văn Cấm 1</t>
  </si>
  <si>
    <t>Bưu Cục 37 Bế Văn Cấm 2</t>
  </si>
  <si>
    <t>Bưu Cục 370 Lê Hồng Phong 1</t>
  </si>
  <si>
    <t>Bưu Cục 370 Lê Hồng Phong 2</t>
  </si>
  <si>
    <t>Bưu Cục 38E Cây Keo</t>
  </si>
  <si>
    <t>Bưu Cục 4 Nhất Chi Mai</t>
  </si>
  <si>
    <t>Bưu Cục 400 Âu Cơ 1</t>
  </si>
  <si>
    <t>Bưu Cục 400 Âu Cơ 2</t>
  </si>
  <si>
    <t>Bưu Cục 400 Âu Cơ 3</t>
  </si>
  <si>
    <t>Bưu Cục 444 Lê Trọng Tấn</t>
  </si>
  <si>
    <t>Bưu Cục 608 Lê Quang Định 1</t>
  </si>
  <si>
    <t>Bưu Cục 608 Lê Quang Định 2</t>
  </si>
  <si>
    <t>Bưu Cục 608 Lê Quang Định 3</t>
  </si>
  <si>
    <t>Bưu Cục 617 Xô Viết Nghệ Tĩnh 2</t>
  </si>
  <si>
    <t>Bưu Cục 62 Tô Ngọc Vân</t>
  </si>
  <si>
    <t>Bưu Cục 63 Vĩnh Hội</t>
  </si>
  <si>
    <t>Bưu Cục 640 Lê Đức Thọ</t>
  </si>
  <si>
    <t>Bưu Cục 684 Tỉnh Lộ 10</t>
  </si>
  <si>
    <t>Bưu Cục 90 Bà Hom</t>
  </si>
  <si>
    <t>Bưu Cục 925 Lũy Bán Bích</t>
  </si>
  <si>
    <t>Bưu Cục Cần Giờ</t>
  </si>
  <si>
    <t>Kho Khách hàng lớn Hồ Chí Minh 01</t>
  </si>
  <si>
    <t>Kho Trung Chuyển Hồ Chí Minh 04</t>
  </si>
  <si>
    <t>Kho Trung Chuyển Hồ Chí Minh 05</t>
  </si>
  <si>
    <t>Kho Trung Chuyển Hồ Chí Minh 19</t>
  </si>
  <si>
    <t>Kho Trung Chuyển Hồ Chí Minh 20</t>
  </si>
  <si>
    <t>Bưu Cục Số 5 Đường 8</t>
  </si>
  <si>
    <t>Bưu Cục 01 Châu Văn Liêm</t>
  </si>
  <si>
    <t>Bưu Cục 01 Lương Văn Can 1</t>
  </si>
  <si>
    <t>Bưu Cục 01 Lương Văn Can 2</t>
  </si>
  <si>
    <t>Bưu Cục 08 Ba Mươi Tháng Tư 1</t>
  </si>
  <si>
    <t>Bưu Cục 08 Ba Mươi Tháng Tư 2</t>
  </si>
  <si>
    <t>Bưu Cục 08 Ba Mươi Tháng Tư 3</t>
  </si>
  <si>
    <t>Bưu Cục 10 Trần Hưng Đạo</t>
  </si>
  <si>
    <t>Bưu Cục 110 Nguyễn Huệ</t>
  </si>
  <si>
    <t>Bưu Cục 116 Hoàng Hoa Thám 2</t>
  </si>
  <si>
    <t>Bưu Cục 1190 QL91</t>
  </si>
  <si>
    <t>Bưu Cục 12 Bà Triệu</t>
  </si>
  <si>
    <t>Bưu Cục 12-14 Bà Triệu 1</t>
  </si>
  <si>
    <t>Bưu Cục 124 Lý Thái Tổ 1</t>
  </si>
  <si>
    <t>Bưu Cục 124 Lý Thái Tổ 2</t>
  </si>
  <si>
    <t>Bưu Cục 124 Võ Văn Kiệt 1</t>
  </si>
  <si>
    <t>Bưu Cục 124 Võ Văn Kiệt 2</t>
  </si>
  <si>
    <t>Bưu Cục 124 Võ Văn Kiệt 3</t>
  </si>
  <si>
    <t>Bưu Cục 127 Lý Thường Kiệt</t>
  </si>
  <si>
    <t>Bưu Cục 129A Đường N2</t>
  </si>
  <si>
    <t>Bưu Cục 13 đường 30/4</t>
  </si>
  <si>
    <t>Bưu Cục 140A Quốc lộ 1A</t>
  </si>
  <si>
    <t>Bưu Cục 145 Nhật Tảo</t>
  </si>
  <si>
    <t>Bưu Cục 149 Đường 23/3</t>
  </si>
  <si>
    <t>Bưu Cục 153 Võ Công Tồn</t>
  </si>
  <si>
    <t>Bưu Cục 156 Nguyễn An Ninh</t>
  </si>
  <si>
    <t>Bưu Cục 158 Quốc lộ 55</t>
  </si>
  <si>
    <t>Bưu Cục 16 Đỗ Nhuận</t>
  </si>
  <si>
    <t>Bưu Cục 161 Nguyễn Tri Phương</t>
  </si>
  <si>
    <t>Bưu Cục 17 Nguyễn Thị Minh Khai</t>
  </si>
  <si>
    <t>Bưu Cục 192/9 Lý Thường Kiệt</t>
  </si>
  <si>
    <t>Bưu Cục 195 Đường 2/4</t>
  </si>
  <si>
    <t>Bưu Cục 20 Nguyễn Du</t>
  </si>
  <si>
    <t>Bưu Cục 206A Đoàn Thị Nghiệp 3</t>
  </si>
  <si>
    <t>Bưu Cục 209/11 Hồ Tùng Mậu 1</t>
  </si>
  <si>
    <t>Bưu Cục 209/11 Hồ Tùng Mậu 2</t>
  </si>
  <si>
    <t>Bưu Cục 21 Lý Tự Trọng</t>
  </si>
  <si>
    <t>Bưu Cục 250 Tôn Đức Thắng</t>
  </si>
  <si>
    <t>Bưu Cục 263 Nguyễn Trường Tộ</t>
  </si>
  <si>
    <t>Bưu Cục 29 Trần Phú</t>
  </si>
  <si>
    <t>Bưu Cục 3 Cù Chính Lan</t>
  </si>
  <si>
    <t>Bưu Cục 30 Hùng Vương</t>
  </si>
  <si>
    <t>Bưu Cục 307 Phan Đình Phùng</t>
  </si>
  <si>
    <t>Bưu Cục 33 Lê Duẩn</t>
  </si>
  <si>
    <t>Bưu Cục 33 Quang Trung</t>
  </si>
  <si>
    <t>Bưu Cục 346 Đường 767</t>
  </si>
  <si>
    <t>Bưu Cục 346 Trần Phú</t>
  </si>
  <si>
    <t>Bưu Cục 347 Trần Hưng Đạo</t>
  </si>
  <si>
    <t>Bưu Cục 361 Ba Mươi Tháng Tư</t>
  </si>
  <si>
    <t>Bưu Cục 376/38 Trảng Sắn</t>
  </si>
  <si>
    <t>Bưu Cục 38 Phan Đình Phùng</t>
  </si>
  <si>
    <t>Bưu Cục 391 Lâm Quang Ky 1</t>
  </si>
  <si>
    <t>Bưu Cục 391 Lâm Quang Ky 2</t>
  </si>
  <si>
    <t>Bưu Cục 391 Lâm Quang Ky 3</t>
  </si>
  <si>
    <t>Bưu Cục 391 Nguyễn Tử Lực</t>
  </si>
  <si>
    <t>Bưu Cục 393 Tôn Đức Thắng</t>
  </si>
  <si>
    <t>Bưu Cục 45/2b Quốc Lộ 62 1</t>
  </si>
  <si>
    <t>Bưu Cục 45/2b Quốc Lộ 62 2</t>
  </si>
  <si>
    <t>Bưu Cục 45 Lê Thánh Tông</t>
  </si>
  <si>
    <t>Bưu Cục 45 Phan Đình Phùng</t>
  </si>
  <si>
    <t>Bưu Cục 473A Bình Giã</t>
  </si>
  <si>
    <t>Bưu Cục 48 Đường 30/4</t>
  </si>
  <si>
    <t>Bưu Cục 5 Huyền Trân Công Chúa</t>
  </si>
  <si>
    <t>Bưu Cục 500B4 Đại Lộ Đồng Khởi</t>
  </si>
  <si>
    <t>Bưu Cục 54 Hùng Vương</t>
  </si>
  <si>
    <t>Bưu Cục 56 Lý Thường Kiệt</t>
  </si>
  <si>
    <t>Bưu Cục 56 Phan Đình Phùng</t>
  </si>
  <si>
    <t>Bưu Cục 57C Ngô Gia Tự</t>
  </si>
  <si>
    <t>Bưu Cục 63 Nguyễn Thiếp 1</t>
  </si>
  <si>
    <t>Bưu Cục 63 Nguyễn Thiếp 2</t>
  </si>
  <si>
    <t>Bưu Cục 63 Nguyễn Thiếp 3</t>
  </si>
  <si>
    <t>Bưu Cục 65/1 Đường Cao Đặng Chiếm 1</t>
  </si>
  <si>
    <t>Bưu Cục 65/1 Đường Cao Đặng Chiếm 2</t>
  </si>
  <si>
    <t>Bưu Cục 66 Nguyễn Thị Minh Khai</t>
  </si>
  <si>
    <t>Bưu Cục 67F  HẢI THƯỢNG LÃN ÔNG</t>
  </si>
  <si>
    <t>Bưu Cục 680 QL1</t>
  </si>
  <si>
    <t>Bưu Cục 685 Hùng Vương</t>
  </si>
  <si>
    <t>Bưu Cục 69/20E Phó Cơ Điều</t>
  </si>
  <si>
    <t>Bưu Cục 7 Đường D20</t>
  </si>
  <si>
    <t>Bưu Cục 74/15 Huỳnh Tấn Phát</t>
  </si>
  <si>
    <t>Bưu Cục 86 Lê Lợi 1</t>
  </si>
  <si>
    <t>Bưu Cục 86 Lê Lợi 2</t>
  </si>
  <si>
    <t>Bưu Cục 870 Huỳnh Văn Lũy</t>
  </si>
  <si>
    <t>Bưu Cục 889 Quốc Lộ 14</t>
  </si>
  <si>
    <t>Bưu Cục 89 Nguyễn Thị Định 1</t>
  </si>
  <si>
    <t>Bưu Cục 89 Nguyễn Thị Định 2</t>
  </si>
  <si>
    <t>Bưu Cục 94 Nguyễn Công Trứ</t>
  </si>
  <si>
    <t>Bưu Cục 96/4 Trương Định 1</t>
  </si>
  <si>
    <t>Bưu Cục 96/4 Trương Định 2</t>
  </si>
  <si>
    <t>Bưu Cục 99 Quốc Lộ 1A</t>
  </si>
  <si>
    <t>Bưu Cục 9A Ngô Quyền</t>
  </si>
  <si>
    <t>Bưu Cục An Nhơn</t>
  </si>
  <si>
    <t>Bưu Cục Bắc Tân Uyên</t>
  </si>
  <si>
    <t>Bưu Cục Bàu Bàng</t>
  </si>
  <si>
    <t>Bưu Cục Bến Cát</t>
  </si>
  <si>
    <t>Bưu Cục Bến Cầu</t>
  </si>
  <si>
    <t>Bưu Cục Bình Minh</t>
  </si>
  <si>
    <t>Bưu Cục Cái Nước</t>
  </si>
  <si>
    <t>Bưu Cục Cái Răng</t>
  </si>
  <si>
    <t>Bưu Cục Cam Lâm</t>
  </si>
  <si>
    <t>Bưu Cục Cẩm Mỹ</t>
  </si>
  <si>
    <t>Bưu Cục Cần Đước</t>
  </si>
  <si>
    <t>Bưu Cục Châu Phú</t>
  </si>
  <si>
    <t>Bưu Cục Châu Thành A</t>
  </si>
  <si>
    <t>Bưu Cục Châu Thành Bến Tre</t>
  </si>
  <si>
    <t>Bưu Cục Châu Thành Tiền Giang</t>
  </si>
  <si>
    <t>Bưu Cục Chợ Mới</t>
  </si>
  <si>
    <t>Bưu Cục Chơn Thành</t>
  </si>
  <si>
    <t>Bưu Cục Côn Đảo</t>
  </si>
  <si>
    <t>Bưu Cục Cư Jút</t>
  </si>
  <si>
    <t>Bưu Cục Cư Kuin</t>
  </si>
  <si>
    <t>Bưu Cục Đạ Huoai</t>
  </si>
  <si>
    <t>Bưu Cục Đắk Mil</t>
  </si>
  <si>
    <t>Bưu Cục Đắk Song</t>
  </si>
  <si>
    <t>Bưu Cục Đầm Dơi</t>
  </si>
  <si>
    <t>Bưu Cục Đảo Phú Quý</t>
  </si>
  <si>
    <t>Bưu Cục Diên Khánh</t>
  </si>
  <si>
    <t>Bưu Cục Định Quán</t>
  </si>
  <si>
    <t>Bưu Cục Đơn Dương</t>
  </si>
  <si>
    <t>Bưu Cục Đông Hòa</t>
  </si>
  <si>
    <t>Bưu Cục Đức Hòa</t>
  </si>
  <si>
    <t>Bưu Cục Đức Huệ</t>
  </si>
  <si>
    <t>Bưu Cục Duyên Hải</t>
  </si>
  <si>
    <t>Bưu Cục Ea H leo</t>
  </si>
  <si>
    <t>Bưu Cục Ea Kar</t>
  </si>
  <si>
    <t>Bưu Cục Giồng Riềng</t>
  </si>
  <si>
    <t>Bưu Cục Hàm Thuận Bắc</t>
  </si>
  <si>
    <t>Bưu Cục Hàm Thuận Nam</t>
  </si>
  <si>
    <t>Bưu Cục Hoài Nhơn</t>
  </si>
  <si>
    <t>Bưu Cục Hòn Đất</t>
  </si>
  <si>
    <t>Bưu Cục Hồng Ngự</t>
  </si>
  <si>
    <t>Bưu Cục Kiến Tường</t>
  </si>
  <si>
    <t>Bưu Cục Kon Plông</t>
  </si>
  <si>
    <t>Bưu Cục  Krông Năng</t>
  </si>
  <si>
    <t>Kho Trung Chuyển Bình Định</t>
  </si>
  <si>
    <t>Kho Trung Chuyển Cần Thơ</t>
  </si>
  <si>
    <t>Kho Trung Chuyển Gia Lai</t>
  </si>
  <si>
    <t>Kho Trung Chuyển Khánh Hòa</t>
  </si>
  <si>
    <t>Kho Trung Chuyển Lâm Đồng</t>
  </si>
  <si>
    <t>Kho Trung Chuyển Phú Yên</t>
  </si>
  <si>
    <t>Bưu Cục Long Khánh</t>
  </si>
  <si>
    <t>Bưu Cục Mỹ Xuyên</t>
  </si>
  <si>
    <t>Bưu Cục Ngọc Hồi</t>
  </si>
  <si>
    <t>Bưu Cục Nguyễn An Ninh</t>
  </si>
  <si>
    <t>Bưu Cục Ninh Hòa</t>
  </si>
  <si>
    <t>Bưu Cục Phan Thiết</t>
  </si>
  <si>
    <t>Bưu Cục Phù Cát</t>
  </si>
  <si>
    <t>Bưu Cục Phú Hòa</t>
  </si>
  <si>
    <t>Bưu Cục Phú Riềng</t>
  </si>
  <si>
    <t>Bưu Cục Phước Hải</t>
  </si>
  <si>
    <t>Bưu Cục Phước Long</t>
  </si>
  <si>
    <t>Bưu Cục Phước Tân</t>
  </si>
  <si>
    <t>Bưu Cục Quy Nhơn</t>
  </si>
  <si>
    <t>Bưu Cục Số 139 Lò Hột</t>
  </si>
  <si>
    <t>Bưu Cục Tân Châu</t>
  </si>
  <si>
    <t>Bưu Cục Tân Định</t>
  </si>
  <si>
    <t>Bưu Cục Tân Hiệp</t>
  </si>
  <si>
    <t>Bưu Cục Tân Hiệp Tân Uyên</t>
  </si>
  <si>
    <t>Bưu Cục Tân Phú</t>
  </si>
  <si>
    <t>Bưu Cục Tân Phước Khánh</t>
  </si>
  <si>
    <t>Bưu Cục Tân Thạnh</t>
  </si>
  <si>
    <t>Bưu Cục Tân Uyên</t>
  </si>
  <si>
    <t>Bưu Cục Tây Sơn</t>
  </si>
  <si>
    <t>Bưu Cục Thới Bình</t>
  </si>
  <si>
    <t>Bưu Cục Thống Nhất</t>
  </si>
  <si>
    <t>Bưu Cục Thốt Nốt</t>
  </si>
  <si>
    <t>Bưu Cục Thủ Thừa</t>
  </si>
  <si>
    <t>Bưu Cục Trần Văn Thời</t>
  </si>
  <si>
    <t>Bưu Cục Tri Tôn</t>
  </si>
  <si>
    <t>Bưu Cục Tuy Phước</t>
  </si>
  <si>
    <t>Bưu Cục Vạn Ninh</t>
  </si>
  <si>
    <t>Bưu Cục Xuyên Mộc</t>
  </si>
  <si>
    <t>Bưu Cục 01 Tây Sơn</t>
  </si>
  <si>
    <t>Bưu Cục 08 Phan Bá Phiến</t>
  </si>
  <si>
    <t>Bưu Cục 162 Huỳnh Thúc Kháng</t>
  </si>
  <si>
    <t>Bưu Cục 183 Trần Phú</t>
  </si>
  <si>
    <t>Bưu Cục 24 Âu Cơ</t>
  </si>
  <si>
    <t>Bưu Cục 274 Điện Biên Phủ</t>
  </si>
  <si>
    <t>Bưu Cục 279 Lê Duẩn</t>
  </si>
  <si>
    <t>Bưu Cục 290 Lý Thánh Tông</t>
  </si>
  <si>
    <t>Bưu Cục 340 Nguyễn Công Phương</t>
  </si>
  <si>
    <t>Bưu Cục 366/2 Võ Nguyên Giáp</t>
  </si>
  <si>
    <t>Bưu Cục 52 Phạm Văn Đồng</t>
  </si>
  <si>
    <t>Bưu Cục 73 - Lâm Úy</t>
  </si>
  <si>
    <t>Bưu Cục 74 Nguyễn Tất Thành</t>
  </si>
  <si>
    <t>Bưu Cục 77 Thái Dương</t>
  </si>
  <si>
    <t>Bưu Cục A Lưới</t>
  </si>
  <si>
    <t>Bưu Cục Bình Sơn</t>
  </si>
  <si>
    <t>Bưu Cục Bố Trạch</t>
  </si>
  <si>
    <t>Bưu Cục Đảo Lý Sơn</t>
  </si>
  <si>
    <t>Bưu Cục Điện Bàn</t>
  </si>
  <si>
    <t>Bưu Cục Hải Lăng</t>
  </si>
  <si>
    <t>Bưu Cục Lê Anh Xuân</t>
  </si>
  <si>
    <t>Bưu Cục Lê Thủy</t>
  </si>
  <si>
    <t>Bưu Cục Minh Hóa</t>
  </si>
  <si>
    <t>Bưu Cục Mộ Đức</t>
  </si>
  <si>
    <t>Bưu Cục Phong Điền</t>
  </si>
  <si>
    <t>Bưu Cục Thăng Bình</t>
  </si>
  <si>
    <t>Bưu Cục 02 Lê Quý Đôn</t>
  </si>
  <si>
    <t>Bưu Cục 08 Noong Bua 1</t>
  </si>
  <si>
    <t>Bưu Cục 08 Noong Bua 2</t>
  </si>
  <si>
    <t>Bưu Cục 1/9 Phan Bội Châu</t>
  </si>
  <si>
    <t>Bưu Cục 101B Lý Thái Tổ</t>
  </si>
  <si>
    <t>Bưu Cục 102 Hoàng Liên</t>
  </si>
  <si>
    <t>Bưu Cục 106 Phạm Văn Đồng</t>
  </si>
  <si>
    <t>Bưu Cục 107 Trần Hưng Đạo</t>
  </si>
  <si>
    <t>Bưu Cục 11 Chu Mạnh Trinh</t>
  </si>
  <si>
    <t>Bưu Cục 111 Xuân Thành 1</t>
  </si>
  <si>
    <t>Bưu Cục 111 Xuân Thành 2</t>
  </si>
  <si>
    <t>Bưu Cục 113 Quang Trung</t>
  </si>
  <si>
    <t>Bưu Cục 119 Hùng Vương</t>
  </si>
  <si>
    <t>Bưu Cục 12 Ngõ 340 Quang Trung</t>
  </si>
  <si>
    <t>Bưu Cục 12 Trần Nhân Tông</t>
  </si>
  <si>
    <t>Bưu Cục 125 Quán Trữ</t>
  </si>
  <si>
    <t>Bưu Cục 126 Nguyễn Công Trứ</t>
  </si>
  <si>
    <t>Bưu Cục 130 Trần Nhân Tông</t>
  </si>
  <si>
    <t>Bưu Cục 14 Trần Phú</t>
  </si>
  <si>
    <t>Bưu Cục 144 Trần Đăng Ninh</t>
  </si>
  <si>
    <t>Bưu Cục 168 Nguyễn Tất Thành 1</t>
  </si>
  <si>
    <t>Bưu Cục 168 Nguyễn Tất Thành 2</t>
  </si>
  <si>
    <t>Bưu Cục 19 Phú Thịnh 1</t>
  </si>
  <si>
    <t>Bưu Cục 19 Phú Thịnh 2</t>
  </si>
  <si>
    <t>Bưu Cục 1A Tản Đà-TP Vinh</t>
  </si>
  <si>
    <t>Bưu Cục 2 Lý Thái Tổ</t>
  </si>
  <si>
    <t>Bưu Cục 201 Nguyễn Du</t>
  </si>
  <si>
    <t>Bưu Cục 209 Nguyễn Trãi</t>
  </si>
  <si>
    <t>Bưu Cục 21 Đỗ Cận</t>
  </si>
  <si>
    <t>Bưu Cục 224 Phùng Hưng 1</t>
  </si>
  <si>
    <t>Bưu Cục 224 Phùng Hưng 2</t>
  </si>
  <si>
    <t>Bưu Cục 230 Lê Lợi</t>
  </si>
  <si>
    <t>Bưu Cục 233 Điện Biên Phủ</t>
  </si>
  <si>
    <t>Bưu Cục 256 Võ Nguyên Giáp</t>
  </si>
  <si>
    <t>Bưu Cục 280 Trần Đăng Ninh 1</t>
  </si>
  <si>
    <t>Bưu Cục 280 Trần Đăng Ninh 2</t>
  </si>
  <si>
    <t>Bưu Cục 29 Ngô Gia Tự 1</t>
  </si>
  <si>
    <t>Bưu Cục 29 Ngô Gia Tự 2</t>
  </si>
  <si>
    <t>Bưu Cục 2A Nguyễn Du</t>
  </si>
  <si>
    <t>Bưu Cục 3499 Vân Phú 1</t>
  </si>
  <si>
    <t>Bưu Cục 3499 Vân Phú 2</t>
  </si>
  <si>
    <t>Bưu Cục 35 Lục Giàng</t>
  </si>
  <si>
    <t>Bưu Cục 353 Ngô Gia Tự</t>
  </si>
  <si>
    <t>Bưu Cục 369 Trần Thái Tông</t>
  </si>
  <si>
    <t>Bưu Cục 373 Thanh Niên</t>
  </si>
  <si>
    <t>Bưu Cục 430 Bắc Kạn</t>
  </si>
  <si>
    <t>Bưu Cục 4B Hùng Thắng</t>
  </si>
  <si>
    <t>Bưu Cục 509 Trần Phú</t>
  </si>
  <si>
    <t>Bưu Cục 544 Lê Thanh Nghị</t>
  </si>
  <si>
    <t>Bưu Cục 55 Trần Nguyên Hãn</t>
  </si>
  <si>
    <t>Bưu Cục 65 Nguyễn Văn Thoát</t>
  </si>
  <si>
    <t>Bưu Cục 68 Khu Ga</t>
  </si>
  <si>
    <t>Bưu Cục 693 Điện Biên 1</t>
  </si>
  <si>
    <t>Bưu Cục 693 Điện Biên 2</t>
  </si>
  <si>
    <t>Bưu Cục 724 Tô Hiệu</t>
  </si>
  <si>
    <t xml:space="preserve">Bưu Cục 73 Quang Trung </t>
  </si>
  <si>
    <t>Bưu Cục 757 Dương Tự Minh</t>
  </si>
  <si>
    <t>Bưu Cục 759 Lê Thánh Tông</t>
  </si>
  <si>
    <t>Bưu Cục 81 Ngô Mây</t>
  </si>
  <si>
    <t>Bưu Cục 83 Thanh Niên Xung Phong</t>
  </si>
  <si>
    <t>Bưu Cục 84.04 Thanh Bình</t>
  </si>
  <si>
    <t>Bưu Cục 84A Châu Cầu</t>
  </si>
  <si>
    <t>Bưu Cục 85 Trần Kim Xuyến</t>
  </si>
  <si>
    <t>Bưu Cục 90 Trần Phú</t>
  </si>
  <si>
    <t>Bưu Cục Anh Sơn</t>
  </si>
  <si>
    <t>Bưu Cục Bắc Ninh</t>
  </si>
  <si>
    <t>Bưu Cục Bắc Sơn</t>
  </si>
  <si>
    <t>Bưu Cục Bắc Yên</t>
  </si>
  <si>
    <t>Bưu Cục Bảo Lạc</t>
  </si>
  <si>
    <t>Bưu Cục Bình Giang</t>
  </si>
  <si>
    <t>Bưu Cục Bình Lục</t>
  </si>
  <si>
    <t>Bưu Cục Cẩm Giàng</t>
  </si>
  <si>
    <t>Bưu cục Cẩm Thành 1</t>
  </si>
  <si>
    <t>Bưu cục Cẩm Thành 2</t>
  </si>
  <si>
    <t>Bưu Cục Cao Bằng</t>
  </si>
  <si>
    <t>Bưu Cục Chí Linh</t>
  </si>
  <si>
    <t>Bưu cục Của Ông</t>
  </si>
  <si>
    <t>Bưu Cục Đảo Vân Đồn</t>
  </si>
  <si>
    <t>Bưu Cục Diễn Châu</t>
  </si>
  <si>
    <t>Bưu Cục Đô Lương</t>
  </si>
  <si>
    <t>Bưu Cục Đoan Hùng</t>
  </si>
  <si>
    <t>Bưu Cục Đồng Hỷ</t>
  </si>
  <si>
    <t>Bưu Cục Đông Triều</t>
  </si>
  <si>
    <t>Bưu Cục Duy Tiên</t>
  </si>
  <si>
    <t>Bưu Cục Giai Phạm</t>
  </si>
  <si>
    <t>Bưu Cục Hà Lộc Phú Thọ</t>
  </si>
  <si>
    <t>Bưu Cục Hạ Long</t>
  </si>
  <si>
    <t>Bưu Cục Hà Trung</t>
  </si>
  <si>
    <t>Bưu Cục Hải Hậu</t>
  </si>
  <si>
    <t>Bưu Cục Hàm Yên</t>
  </si>
  <si>
    <t>Bưu Cục Hậu Lộc</t>
  </si>
  <si>
    <t>Bưu Cục Hiệp Hòa</t>
  </si>
  <si>
    <t>Bưu Cục Hoàng Su Phì</t>
  </si>
  <si>
    <t>Bưu Cục Hồng Thái</t>
  </si>
  <si>
    <t>Bưu Cục Hữu Lũng</t>
  </si>
  <si>
    <t>Bưu Cục KCN Vĩnh Niệm</t>
  </si>
  <si>
    <t>Bưu Cục Khoái Châu</t>
  </si>
  <si>
    <t>Bưu Cục Kim Thành</t>
  </si>
  <si>
    <t>Bưu Cục Kinh Môn</t>
  </si>
  <si>
    <t>Kho Trung Chuyển Hải Phòng</t>
  </si>
  <si>
    <t>Kho Trung Chuyển Nghệ An</t>
  </si>
  <si>
    <t>Bưu Cục Kỳ Trinh Kỳ Anh</t>
  </si>
  <si>
    <t>Bưu Cục Lai Châu</t>
  </si>
  <si>
    <t>Bưu Cục Lâm Thao</t>
  </si>
  <si>
    <t>Bưu Cục Lục Nam</t>
  </si>
  <si>
    <t>Bưu Cục Lục Ngạn</t>
  </si>
  <si>
    <t>Bưu Cục Lương Sơn</t>
  </si>
  <si>
    <t>Bưu Cục Mèo Vạc</t>
  </si>
  <si>
    <t>Bưu Cục Mộc Châu</t>
  </si>
  <si>
    <t>Bưu Cục Mường Tè</t>
  </si>
  <si>
    <t>Bưu Cục Mỹ Hào</t>
  </si>
  <si>
    <t>Bưu Cục Nam Trực</t>
  </si>
  <si>
    <t>Bưu Cục Nghĩa Đàn</t>
  </si>
  <si>
    <t>Bưu Cục Nghĩa Hưng</t>
  </si>
  <si>
    <t>Bưu Cục Ngô Thì Nhậm</t>
  </si>
  <si>
    <t>Bưu Cục Nho Quan</t>
  </si>
  <si>
    <t>Bưu Cục Như Thanh</t>
  </si>
  <si>
    <t>Bưu Cục Phố 1 Đại Lộ CSEDP</t>
  </si>
  <si>
    <t>Bưu Cục Phố 1 Quảng Hưng</t>
  </si>
  <si>
    <t>Bưu Cục Phú Bình</t>
  </si>
  <si>
    <t>Bưu Cục Phù Ninh</t>
  </si>
  <si>
    <t>Bưu Cục Phù Yên</t>
  </si>
  <si>
    <t>Bưu Cục Phúc Yên 1</t>
  </si>
  <si>
    <t>Bưu Cục Phúc Yên 2</t>
  </si>
  <si>
    <t>Bưu Cục Quan Hóa</t>
  </si>
  <si>
    <t>Bưu Cục Quảng Uyên</t>
  </si>
  <si>
    <t>Bưu Cục Quế Võ</t>
  </si>
  <si>
    <t>Bưu Cục Quỳnh Lưu</t>
  </si>
  <si>
    <t>Bưu Cục Sơn Dương</t>
  </si>
  <si>
    <t>Bưu Cục Sông Lô</t>
  </si>
  <si>
    <t>Bưu Cục Tam Đường</t>
  </si>
  <si>
    <t>Bưu Cục Tân Lạc</t>
  </si>
  <si>
    <t>Bưu Cục Tân Yên</t>
  </si>
  <si>
    <t>Bưu Cục Tên Yên</t>
  </si>
  <si>
    <t>Bưu Cục Thái Thụy</t>
  </si>
  <si>
    <t>Bưu Cục Thanh Liêm</t>
  </si>
  <si>
    <t>Bưu Cục Thanh Sơn</t>
  </si>
  <si>
    <t>Bưu Cục Thọ Xuân</t>
  </si>
  <si>
    <t>Bưu Cục Thuận Châu</t>
  </si>
  <si>
    <t>Bưu Cục Thuận Thành</t>
  </si>
  <si>
    <t>Bưu Cục Thủy Nguyên</t>
  </si>
  <si>
    <t>Bưu Cục Tiên Du</t>
  </si>
  <si>
    <t>Bưu Cục Tiên Lãng</t>
  </si>
  <si>
    <t>Bưu Cục Tĩnh Gia</t>
  </si>
  <si>
    <t>Bưu Cục Tràng Định</t>
  </si>
  <si>
    <t>Bưu Cục Triệu Sơn</t>
  </si>
  <si>
    <t>Bưu Cục Trực Ninh</t>
  </si>
  <si>
    <t>Bưu Cục Tứ Kỳ</t>
  </si>
  <si>
    <t>Bưu Cục Từ Sơn</t>
  </si>
  <si>
    <t>Bưu Cục Tuần Giáo</t>
  </si>
  <si>
    <t>Bưu Cục Văn Chấn</t>
  </si>
  <si>
    <t>Bưu Cục Văn Giang</t>
  </si>
  <si>
    <t>Bưu Cục Văn Lâm</t>
  </si>
  <si>
    <t>Bưu Cục Văn Lãng</t>
  </si>
  <si>
    <t>Bưu Cục Việt Quang 1</t>
  </si>
  <si>
    <t>Bưu Cục Việt Quang 2</t>
  </si>
  <si>
    <t>Bưu Cục Việt Yên</t>
  </si>
  <si>
    <t>Bưu Cục Vĩnh Lộc</t>
  </si>
  <si>
    <t>Bưu Cục Vụ Bản</t>
  </si>
  <si>
    <t>Bưu Cục Yên Định</t>
  </si>
  <si>
    <t>Bưu Cục Yên Dũng</t>
  </si>
  <si>
    <t>Bưu Cục Yên Khánh</t>
  </si>
  <si>
    <t>Bưu Cục Yên Mỹ</t>
  </si>
  <si>
    <t>Bưu Cục Yên Phong</t>
  </si>
  <si>
    <t>Bưu Cục Yên Thành</t>
  </si>
  <si>
    <t>Bưu Cục Yên Thế</t>
  </si>
  <si>
    <t>Thêm 0.5</t>
  </si>
  <si>
    <t>Quận Từ Liêm - Hà Nội</t>
  </si>
  <si>
    <t>Huyện Quốc Oai - Hà Nội</t>
  </si>
  <si>
    <t>Huyện Bình Chánh 2 - Hồ Chí Minh</t>
  </si>
  <si>
    <t>Huyện Tân Thành - Bà Rịa - Vũng Tàu</t>
  </si>
  <si>
    <t>TT Phú Mỹ - Bà Rịa - Vũng Tàu</t>
  </si>
  <si>
    <t>Đồng Tháp - Đồng Tháp</t>
  </si>
  <si>
    <t>Huyện Cư M'gar - Đắk Lắk</t>
  </si>
  <si>
    <t>Huyện Đồng Phù - Bình Phước</t>
  </si>
  <si>
    <t>Huyện Đak Hà - Kon Tum</t>
  </si>
  <si>
    <t>Huyện Ea H'leo - ĐĂK LĂK</t>
  </si>
  <si>
    <t>Huyện Krông Ana - ĐĂK LĂK</t>
  </si>
  <si>
    <t>Huyện Krông Bông - ĐĂK LĂK</t>
  </si>
  <si>
    <t>Huyện Krông Năng - ĐĂK LĂK</t>
  </si>
  <si>
    <t>Thành Phố Bảo Lộc - Lâm Đồng</t>
  </si>
  <si>
    <t>Thị Xã An Khê - Gia Lai</t>
  </si>
  <si>
    <t>Thị Xã Ayun Pa - Gia Lai</t>
  </si>
  <si>
    <t>Thị Xã Bình Long - Bình Phước</t>
  </si>
  <si>
    <t>Huyện Ea Súp - ĐĂK LĂK</t>
  </si>
  <si>
    <t>Thị Xã La Gi - Bình Thuận</t>
  </si>
  <si>
    <t>Thị Xã Phước Long - Bình Phước</t>
  </si>
  <si>
    <t>Huyện Ea H'leo - Đắk Lắk</t>
  </si>
  <si>
    <t>Huyện Hướng Hoá - Quảng Trị</t>
  </si>
  <si>
    <t>Thị Xã Hồng Lĩnh - Hà Tĩnh</t>
  </si>
  <si>
    <t>Hoà Bình</t>
  </si>
  <si>
    <t>Huyện Hoằng Hóa - Thanh Hoá</t>
  </si>
  <si>
    <t>Huyện Quảng Xương - Thanh Hoá</t>
  </si>
  <si>
    <t>Thị Xã Cửa Lò - Nghệ An</t>
  </si>
  <si>
    <t>Thị Xã Tam Điệp - Ninh Bình</t>
  </si>
  <si>
    <t>Thị Xã Từ Sơn - Bắc Ninh</t>
  </si>
  <si>
    <t>Thị Xã Hoàng Mai - Nghệ An</t>
  </si>
  <si>
    <t>Thị Xã Thái Hòa - Nghệ An</t>
  </si>
  <si>
    <t>Huyện đảo Cát Hải - Hải Phòng</t>
  </si>
  <si>
    <t>HN &lt;-&gt; ĐN &lt;-&gt; HCM &lt;-&gt; HN</t>
  </si>
  <si>
    <t>Định Nghĩa Tuyến</t>
  </si>
  <si>
    <t>Cước Trả</t>
  </si>
  <si>
    <t>ĐN &lt;-&gt; KV2</t>
  </si>
  <si>
    <t>Từ Tỉnh</t>
  </si>
  <si>
    <t>Tỉnh-Tỉnh</t>
  </si>
  <si>
    <t>Đến Tỉnh</t>
  </si>
  <si>
    <t>COD</t>
  </si>
  <si>
    <t>Chiết khấu</t>
  </si>
  <si>
    <t>CK</t>
  </si>
  <si>
    <t>Khu Vực 1</t>
  </si>
  <si>
    <t>Khu Vực 2</t>
  </si>
  <si>
    <t>Khu Vực 3</t>
  </si>
  <si>
    <t>Định Danh/Số Kg</t>
  </si>
  <si>
    <t>Huyện M Đrắk - Đắk Lắk</t>
  </si>
  <si>
    <t>Quận Đặc Biệt</t>
  </si>
  <si>
    <t>HN &lt;-&gt; KV1, KV2
ĐN &lt;-&gt; KV1, KV3
HCM &lt;-&gt; KV2, KV3
KV3 &lt;-&gt; KV1, KV2
KV2 &lt;-&gt; KV1, KV3
KV1 &lt;-&gt; KV2, KV3</t>
  </si>
  <si>
    <t>HN &lt;-&gt; HN
ĐN &lt;-&gt; ĐN
HCM &lt;-&gt; HCM
Tỉnh X KVY &lt;-&gt; Tỉnh X KVY</t>
  </si>
  <si>
    <t>HN &lt;-&gt; KV3
HCM &lt;-&gt; KV1
KV3 &lt;-&gt; KV3
KV2 &lt;-&gt; KV2
KV1 &lt;-&gt; KV1</t>
  </si>
  <si>
    <t>ID kho</t>
  </si>
  <si>
    <t>Kho giao nhận Ngã Bảy_Hậu Giang</t>
  </si>
  <si>
    <t>Kho giao nhận Phan Rang_Ninh Thuận</t>
  </si>
  <si>
    <t>Kho giao nhận Thuận Nam_Ninh Thuận</t>
  </si>
  <si>
    <t>Kho giao nhận Đồng Hới_Quảng Bình</t>
  </si>
  <si>
    <t>Bưu Cục 01 Tây Sơn-Đồng Hới-Quảng Bình</t>
  </si>
  <si>
    <t>Kho giao nhận Yên Minh_Hà Giang</t>
  </si>
  <si>
    <t>Bưu Cục 02 Lê Quý Đôn-Yên Minh-Hà Giang</t>
  </si>
  <si>
    <t>Kho giao nhận Thái Bình_Thái Bình</t>
  </si>
  <si>
    <t>Bưu Cục 02 Lý Thái Tổ-TP.Thái Bình</t>
  </si>
  <si>
    <t>Kho giao nhận Bình Chánh_Hồ Chí Minh</t>
  </si>
  <si>
    <t>Kho giao nhận Nha Trang_Khánh Hòa</t>
  </si>
  <si>
    <t>Bưu Cục 03 Cù Chính Lan-Nha Trang-Khánh Hòa</t>
  </si>
  <si>
    <t>Kho giao nhận Phường 13-Tân Bình_Hồ Chí Minh</t>
  </si>
  <si>
    <t>Bưu Cục 04 Nhất Chi Mai-Q.Tân Bình-HCM</t>
  </si>
  <si>
    <t>Kho giao nhận Quận 9_Hồ Chí Minh</t>
  </si>
  <si>
    <t>Kho giao nhận Kiên Lương_Kiên Giang</t>
  </si>
  <si>
    <t>Bưu Cục 05 Huyền Trân Công Chúa-Kiên Lương-Kiên Giang</t>
  </si>
  <si>
    <t>Kho giao nhận Thủ Dầu Một_Bình Dương</t>
  </si>
  <si>
    <t>Bưu Cục 08 Ba Mươi Tháng Tư-Thủ Dầu Một-Bình Dương 01</t>
  </si>
  <si>
    <t>Kho giao nhận Hiệp Thành_Bình Dương</t>
  </si>
  <si>
    <t>Bưu Cục 08 Ba Mươi Tháng Tư-Thủ Dầu Một-Bình Dương 02</t>
  </si>
  <si>
    <t>KV1 Bưu cục 305 Ba Mươi Tháng Tư - Thủ Dầu Một</t>
  </si>
  <si>
    <t>Bưu Cục 08 Ba Mươi Tháng Tư-Thủ Dầu Một-Bình Dương 03</t>
  </si>
  <si>
    <t>Kho giao nhận Điện Biên Phủ_Điện Biên</t>
  </si>
  <si>
    <t>Bưu Cục 08 Noong Bua-Điện Biên Phủ-Điện Biên 01</t>
  </si>
  <si>
    <t>KV3 Bưu cục 77 Võ Nguyễn Giáp - Điện Biên Phủ</t>
  </si>
  <si>
    <t>Bưu Cục 08 Noong Bua-Điện Biên Phủ-Điện Biên 02</t>
  </si>
  <si>
    <t>Kho giao nhận Hội An_Quảng Nam</t>
  </si>
  <si>
    <t>Bưu Cục 08 Phan Bá Phiến-Hội An-Quảng Nam</t>
  </si>
  <si>
    <t>Kho giao nhận Vinh_Nghệ An</t>
  </si>
  <si>
    <t>Bưu Cục 1/9 Phan Bội Châu-Vinh-Nghệ An</t>
  </si>
  <si>
    <t>Kho giao nhận Krông Pắc_Đắk Lắk</t>
  </si>
  <si>
    <t>Bưu Cục 10 Trần Hưng Đạo-Krông Pắc-Đắk Lắk</t>
  </si>
  <si>
    <t>Kho giao nhận Bắc Giang_Bắc Giang</t>
  </si>
  <si>
    <t>Bưu Cục 100 Giáp Hải</t>
  </si>
  <si>
    <t>Bưu Cục 100 Giáp Hải-TP.Bắc Giang</t>
  </si>
  <si>
    <t>Kho giao nhận Phủ Lý_Hà Nam</t>
  </si>
  <si>
    <t>Bưu Cục 101B Lý Thái Tổ-Phủ Lý-Hà Nam</t>
  </si>
  <si>
    <t>KV3 Bưu cục 120 Hoàng Liên - Lào Cai</t>
  </si>
  <si>
    <t>Bưu Cục 102 Hoàng Liên-TP.Lào Cai</t>
  </si>
  <si>
    <t>Kho giao nhận Thái Nguyên_Thái Nguyên</t>
  </si>
  <si>
    <t xml:space="preserve">Bưu Cục 83 Thanh Niên Xung Phong </t>
  </si>
  <si>
    <t>Bưu Cục 83 Thanh Niên Xung Phong-TP.Thái Nguyên</t>
  </si>
  <si>
    <t>Kho giao nhận Láng Thượng_Hà Nội</t>
  </si>
  <si>
    <t>Bưu Cục 107 Nguyễn Chí Thanh-Q.Đống Đa-HN</t>
  </si>
  <si>
    <t>Kho giao nhận Văn Yên_Yên Bái</t>
  </si>
  <si>
    <t>Bưu Cục 107 Trần Hưng Đạo-Văn Yên-Yên Bái</t>
  </si>
  <si>
    <t>HN Bưu cục 108 Kim Bài - Hà Nội</t>
  </si>
  <si>
    <t>Bưu Cục 108 Kim Bài-Thanh Oai-HN</t>
  </si>
  <si>
    <t>Kho giao nhận Hưng Yên_Hưng Yên</t>
  </si>
  <si>
    <t>Bưu Cục 11 Chu Mạnh Trinh-TP.Hưng Yên</t>
  </si>
  <si>
    <t>Kho giao nhận Trảng Bom_Đồng Nai</t>
  </si>
  <si>
    <t xml:space="preserve">Bưu Cục 110 Nguyễn Huệ </t>
  </si>
  <si>
    <t>Bưu Cục 110 Nguyễn Huệ-Trảng Bom-Đồng Nai</t>
  </si>
  <si>
    <t>Kho giao nhận Ninh Bình_Ninh Bình</t>
  </si>
  <si>
    <t>Bưu Cục 111 Xuân Thành-Ninh Bình-Ninh Bình 01</t>
  </si>
  <si>
    <t>KV3 Bưu cục 130 Đinh Tiên Hoàng - Ninh Bình</t>
  </si>
  <si>
    <t>Bưu Cục 111 Xuân Thành-Ninh Bình-Ninh Bình 02</t>
  </si>
  <si>
    <t>KV3 Bưu cục 113 Quang Trung - Bắc Giang</t>
  </si>
  <si>
    <t>Bưu Cục 113 Quang Trung-TP.Bắc Giang</t>
  </si>
  <si>
    <t>HN Bưu cục 114 Yên Lãng - Hà Nội</t>
  </si>
  <si>
    <t>Bưu Cục 114 Yên Lãng-Q.Đống Đa-HN</t>
  </si>
  <si>
    <t>Kho giao nhận Buôn Mê Thuột_Đắk Lắk</t>
  </si>
  <si>
    <t>Bưu Cục 116 Hoàng Hoa Thám 1</t>
  </si>
  <si>
    <t>Kho giao nhận Buôn Đôn_Đắk Lắk</t>
  </si>
  <si>
    <t>KV3 Bưu cục 119 Hùng Vương - Vĩnh Yên</t>
  </si>
  <si>
    <t>Bưu Cục 119 Hùng Vương-Vĩnh Yên-Vĩnh Phúc</t>
  </si>
  <si>
    <t>HCM Bưu cục 55 Nguyễn Văn Luông - Hồ Chí Minh</t>
  </si>
  <si>
    <t>Bưu Cục 119 Nguyễn Văn Luông-Q.6-HCM</t>
  </si>
  <si>
    <t>Kho giao nhận Ô Môn_Cần Thơ</t>
  </si>
  <si>
    <t>Bưu Cục 1190 QL91-Q.Ô Môn-Cần Thơ</t>
  </si>
  <si>
    <t>Kho giao nhận Tháp Mười_Đồng Tháp</t>
  </si>
  <si>
    <t>Kho giao nhận Hồng Lĩnh_Hà Tĩnh</t>
  </si>
  <si>
    <t>Bưu Cục 12 Ngõ 340 Quang Trung-Hồng Lĩnh-Hà Tĩnh</t>
  </si>
  <si>
    <t>KV3 Bưu cục 12 Trần Nhân Tông - Uông Bí</t>
  </si>
  <si>
    <t>Bưu Cục 12 Trần Nhân Tông-Uông Bí-Quảng Ninh</t>
  </si>
  <si>
    <t>Kho giao nhận Cao Lãnh_Đồng Tháp</t>
  </si>
  <si>
    <t>Bưu Cục 12-14 Bà Triệu-Cao Lãnh-Đồng Tháp</t>
  </si>
  <si>
    <t>Kho giao nhận Nhơn Trạch_Đồng Nai</t>
  </si>
  <si>
    <t>Bưu Cục 124 Lý Thái Tổ-Nhơn Trạch-Đồng Nai 01</t>
  </si>
  <si>
    <t>Kho giao nhận Phú Thạnh-Nhơn Trạch_Đồng Nai</t>
  </si>
  <si>
    <t>Bưu Cục 124 Lý Thái Tổ-Nhơn Trạch-Đồng Nai 02</t>
  </si>
  <si>
    <t>Kho giao nhận Bắc Từ Liêm_Hà Nội</t>
  </si>
  <si>
    <t>Bưu Cục 124 Phan Bá Vành-Q.Bắc Từ Liêm-HN</t>
  </si>
  <si>
    <t>Kho giao nhận Nam Từ Liêm_Hà Nội</t>
  </si>
  <si>
    <t>Bưu Cục 124 Trịnh Văn Bô-Q.Nam Từ Liêm-HN</t>
  </si>
  <si>
    <t>Kho giao nhận Ninh Kiều_Cần Thơ</t>
  </si>
  <si>
    <t>Kho giao nhận Bình Thủy_Cần Thơ</t>
  </si>
  <si>
    <t>KV1 Bưu cục 223A Ba Tháng Hai - Cần Thơ</t>
  </si>
  <si>
    <t>Bưu Cục 124 Võ Văn Kiệt-Q.Ninh Kiều-Cần Thơ 03</t>
  </si>
  <si>
    <t>Kho giao nhận An Dương_Hải Phòng</t>
  </si>
  <si>
    <t>Kho giao nhận Tiền Hải_Thái Bình</t>
  </si>
  <si>
    <t>Bưu Cục 126 Nguyễn Công Trứ-Tiền Hải-Thái Bình</t>
  </si>
  <si>
    <t>KV1 Bưu cục 127 Lý Thường Kiệt - Vũng Tàu</t>
  </si>
  <si>
    <t>Bưu Cục 127 Lý Thường Kiệt-TP.Vũng Tàu</t>
  </si>
  <si>
    <t>Kho giao nhận phường 13-Quận 10_Hồ Chí Minh</t>
  </si>
  <si>
    <t>Bưu Cục 128 Đồng Nai-Q.10-HCM 01</t>
  </si>
  <si>
    <t>HCM Bưu cục 128 Đồng Nai - Hồ Chí Minh</t>
  </si>
  <si>
    <t>HCM Bưu cục 1284 Quang Trung - Hồ Chí Minh</t>
  </si>
  <si>
    <t>Bưu Cục 1284 Quang Trung-Q.Gò Vấp-HCM</t>
  </si>
  <si>
    <t>Kho giao nhận Dầu Tiếng_Bình Dương</t>
  </si>
  <si>
    <t>Bưu Cục 129A Đường N2-Dầu Tiếng-Bình Dương</t>
  </si>
  <si>
    <t>HN Bưu cục 129T Nguyễn Trãi - Hà Nội</t>
  </si>
  <si>
    <t>Kho giao nhận Tân Châu_Tây Ninh</t>
  </si>
  <si>
    <t>Bưu Cục 13 đường 30/4-Tân Châu-Tây Ninh</t>
  </si>
  <si>
    <t>Kho giao nhận Quảng Yên_Quảng Ninh</t>
  </si>
  <si>
    <t>Bưu Cục 130 Trần Nhân Tông-Quảng Yên-Quảng Ninh</t>
  </si>
  <si>
    <t>Kho giao nhận Trà Vinh_Trà Vinh</t>
  </si>
  <si>
    <t>Bưu Cục 139 Lò Hột-TP.Trà Vinh</t>
  </si>
  <si>
    <t>KV3- Bưu cục 14 Trần Phú- Từ Sơn</t>
  </si>
  <si>
    <t>Bưu Cục 14 Trần Phú-Từ Sơn-Bắc Ninh</t>
  </si>
  <si>
    <t>Kho giao nhận Hố Nai-Biên Hòa_Đồng Nai</t>
  </si>
  <si>
    <t>Bưu Cục 140A Quốc lộ 1A-Biên Hòa-Đồng Nai</t>
  </si>
  <si>
    <t>KV3 Bưu cục 144 Trần Đăng Ninh - Lạng Sơn</t>
  </si>
  <si>
    <t>Bưu Cục 144 Trần Đăng Ninh-Lạng Sơn-Lạng Sơn</t>
  </si>
  <si>
    <t>Kho giao nhận Vĩnh Hưng_Long An</t>
  </si>
  <si>
    <t>Bưu Cục 145 Nhật Tảo-Vĩnh Hưng-Long An</t>
  </si>
  <si>
    <t>Kho giao nhận Gia Nghĩa_Đắc Nông</t>
  </si>
  <si>
    <t>Bưu Cục 149 Đường 23/3-Gia Nghĩa-Đắk Nông</t>
  </si>
  <si>
    <t>Kho giao nhận Phường 11-Tân Bình_Hồ Chí Minh</t>
  </si>
  <si>
    <t>Bưu Cục 152 Phạm Phú Thứ-Q.Tân Bình-HCM 01</t>
  </si>
  <si>
    <t>HCM Bưu cục 152 Phạm Phú thứ - Hồ Chí Minh</t>
  </si>
  <si>
    <t>Bưu Cục 152 Phạm Phú Thứ-Q.Tân Bình-HCM 02</t>
  </si>
  <si>
    <t>Kho giao nhận Bến Lức_Long An</t>
  </si>
  <si>
    <t>Kho giao nhận Cần Giuộc_Long An</t>
  </si>
  <si>
    <t>Bưu Cục 156 Nguyễn An Ninh-Cần Giuộc-Long An</t>
  </si>
  <si>
    <t>Kho giao nhận Tánh Linh_Bình Thuận</t>
  </si>
  <si>
    <t>Bưu Cục 158 Quốc lộ 55-Tánh Linh-Bình Thuận</t>
  </si>
  <si>
    <t>Kho giao nhận Long Xuyên_An Giang</t>
  </si>
  <si>
    <t>Bưu Cục 16 Đỗ Nhuận-Long Xuyên-An Giang</t>
  </si>
  <si>
    <t>Kho giao nhận Sơn Tây_Hà Nội</t>
  </si>
  <si>
    <t>Bưu Cục 16 Tiền Huân-Sơn Tây-HN</t>
  </si>
  <si>
    <t>Kho giao nhận Châu Đốc_An Giang</t>
  </si>
  <si>
    <t>Bưu Cục 161 Nguyễn Tri Phương-Châu Đốc-An Giang</t>
  </si>
  <si>
    <t>Kho giao nhận Đại Lộc_Quảng Nam</t>
  </si>
  <si>
    <t>Bưu Cục 162 Huỳnh Thúc Kháng-Đại Lộc-Quảng Nam</t>
  </si>
  <si>
    <t>Kho giao nhận Vĩnh Yên_Vĩnh Phúc</t>
  </si>
  <si>
    <t>Bưu Cục 168 Nguyễn Tất Thành-Vĩnh Yên-Vĩnh Phúc 01</t>
  </si>
  <si>
    <t>Kho giao nhận Vĩnh Tường_Vĩnh Phúc</t>
  </si>
  <si>
    <t>Bưu Cục 168 Nguyễn Tất Thành-Vĩnh Yên-Vĩnh Phúc 02</t>
  </si>
  <si>
    <t>Kho giao nhận Quận 3_Hồ Chí Minh</t>
  </si>
  <si>
    <t>Bưu Cục 16A Lê Hồng Phong-Q.10-HCM 01</t>
  </si>
  <si>
    <t>Kho giao nhận Quận 11_Hồ Chí Minh</t>
  </si>
  <si>
    <t>Bưu Cục 16A Lê Hồng Phong-Q.10-HCM 02</t>
  </si>
  <si>
    <t>Kho giao nhận Quận 5_Hồ Chí Minh</t>
  </si>
  <si>
    <t>Bưu Cục 16A Lê Hồng Phong-Q.10-HCM 03</t>
  </si>
  <si>
    <t>Kho giao nhận phường 12-Quận 10_Hồ Chí Minh</t>
  </si>
  <si>
    <t>Bưu Cục 16A Lê Hồng Phong-Q.10-HCM 04</t>
  </si>
  <si>
    <t>Kho giao nhận Bù Đăng_Bình Phước</t>
  </si>
  <si>
    <t>Bưu Cục 17 Nguyễn Thị Minh Khai-Bù Đăng-Bình Phước</t>
  </si>
  <si>
    <t>Kho giao nhận Thạch Thất_Hà Nội</t>
  </si>
  <si>
    <t>Bưu Cục 173 Đồng Cam-Thạch Thất-HN</t>
  </si>
  <si>
    <t>HN Bưu Cục 174 Cao Lỗ - Hà nội</t>
  </si>
  <si>
    <t>Bưu Cục 174 Cao Lỗ-Đông Anh-HN</t>
  </si>
  <si>
    <t>Kho giao nhận Sa Đéc_Đồng Tháp</t>
  </si>
  <si>
    <t>Bưu Cục 177 Nguyễn Văn Phát</t>
  </si>
  <si>
    <t>Bưu Cục 177 Nguyễn Văn Phát-Sa Đéc-Đồng Tháp</t>
  </si>
  <si>
    <t>Kho giao nhận Vĩnh Linh_Quảng Trị</t>
  </si>
  <si>
    <t>Bưu Cục 183 Trần Phú-Vĩnh Linh-Quảng Trị</t>
  </si>
  <si>
    <t>Kho giao nhận Đống Đa_Hà Nội</t>
  </si>
  <si>
    <t>Bưu Cục 187 Giảng Võ-Q.Đống Đa-HN 01</t>
  </si>
  <si>
    <t>Kho giao nhận Ba Đình_Hà Nội</t>
  </si>
  <si>
    <t>Bưu Cục 187 Giảng Võ-Q.Đống Đa-HN 02</t>
  </si>
  <si>
    <t>Kho giao nhận Hoàn Kiếm_Hà Nội</t>
  </si>
  <si>
    <t>HN Bưu cục 188 Nguyễn Ngọc Nại - Hà Nội</t>
  </si>
  <si>
    <t>Bưu Cục 188 Nguyễn Ngọc Nại-Q.Thanh Xuân-HN</t>
  </si>
  <si>
    <t>Kho giao nhận Lào Cai_Lào Cai</t>
  </si>
  <si>
    <t>Bưu Cục 19 Phú Thịnh-TP.Lào Cai 01</t>
  </si>
  <si>
    <t>Kho giao nhận Bảo Thắng_Lào Cai</t>
  </si>
  <si>
    <t>Bưu Cục 19 Phú Thịnh-TP.Lào Cai 02</t>
  </si>
  <si>
    <t>Kho giao nhận Di Linh_Lâm Đồng</t>
  </si>
  <si>
    <t>Bưu Cục 192/9 Lý Thường Kiệt-Di Linh-Lâm Đồng</t>
  </si>
  <si>
    <t>Kho giao nhận Vĩnh Hải-Nha Trang_Khánh Hòa</t>
  </si>
  <si>
    <t>Bưu Cục 195 Đường 2/4-Nha Trang-Khánh Hòa</t>
  </si>
  <si>
    <t>Kho giao nhận Hưng Nguyên_Nghệ An</t>
  </si>
  <si>
    <t>Bưu Cục 1A Tản Đà-Vinh-Nghệ An</t>
  </si>
  <si>
    <t>Kho giao nhận phường ĐaKao-Quận 1_Hồ Chí Minh</t>
  </si>
  <si>
    <t>Bưu Cục 2 Bis Nguyễn Thị Minh Khai-Q.1-HCM 01</t>
  </si>
  <si>
    <t>Kho giao nhận phường Nguyễn Cư Trinh-Quận 1_Hồ Chí Minh</t>
  </si>
  <si>
    <t>Kho giao nhận Tân Biên_Tây Ninh</t>
  </si>
  <si>
    <t>Bưu Cục 2/9 Nguyễn Duy Trinh</t>
  </si>
  <si>
    <t>Bưu Cục 2/9 Nguyễn Duy Trinh-Tân Biên-Tây Ninh</t>
  </si>
  <si>
    <t>Kho giao nhận Đắk R Lấp_Đắc Nông</t>
  </si>
  <si>
    <t>Bưu Cục 20 Nguyễn Du-Đắk R lấp-Đắk Nông</t>
  </si>
  <si>
    <t>Kho giao nhận Tân Phú_Hồ Chí Minh</t>
  </si>
  <si>
    <t>Bưu Cục 20/82-84 Bờ Bao Tân Thắng-Q.Tân Phú-HCM</t>
  </si>
  <si>
    <t>Kho giao nhận Quỳnh Phụ_Thái Bình</t>
  </si>
  <si>
    <t>Bưu Cục 201 Nguyễn Du-Quỳnh Phụ-Thái Bình</t>
  </si>
  <si>
    <t>Kho giao nhận Mỹ Tho_Tiền Giang</t>
  </si>
  <si>
    <t>Bưu Cục 206 A Đoàn Thị Nghiệp 1</t>
  </si>
  <si>
    <t>Bưu Cục 206 A Đoàn Thị Nghiệp-Mỹ Tho-Tiền Giang 01</t>
  </si>
  <si>
    <t>KV1 Bưu cục 2/3 Lý Thường Kiệt - Mỹ Tho</t>
  </si>
  <si>
    <t>Bưu Cục 206 A Đoàn Thị Nghiệp 2</t>
  </si>
  <si>
    <t>Bưu Cục 206 A Đoàn Thị Nghiệp-Mỹ Tho-Tiền Giang 02</t>
  </si>
  <si>
    <t>Kho giao nhận Chợ Gạo_Tiền Giang</t>
  </si>
  <si>
    <t>Bưu Cục 206 A Đoàn Thị Nghiệp-Mỹ Tho-Tiền Giang 03</t>
  </si>
  <si>
    <t>Kho giao nhận Gò Công_Tiền Giang</t>
  </si>
  <si>
    <t>Bưu Cục 206 A Đoàn Thị Nghiệp 4</t>
  </si>
  <si>
    <t>Kho giao nhận Hoành Bồ_Quảng Ninh</t>
  </si>
  <si>
    <t>Bưu Cục 209 Nguyễn Trãi-Hạ Long-Quảng Ninh</t>
  </si>
  <si>
    <t>Kho giao nhận Bảo Lộc_Lâm Đồng</t>
  </si>
  <si>
    <t>KV1 Bưu cục 523 Trần Phú - Bảo Lộc</t>
  </si>
  <si>
    <t>Bưu Cục 209/11 Hồ Tùng Mậu-Bảo Lộc-Lâm Đồng 02</t>
  </si>
  <si>
    <t>Kho giao nhận Cẩm Lệ_Đà Nẵng</t>
  </si>
  <si>
    <t>Bưu Cục 21 Đặng Văn Ngữ-Q.Cẩm Lệ-Đà Nẵng</t>
  </si>
  <si>
    <t>KV3 Bưu cục 21 Đỗ Cận - Thái Nguyên</t>
  </si>
  <si>
    <t>Bưu Cục 21 Đỗ Cận-Phổ Yên-Thái Nguyên</t>
  </si>
  <si>
    <t>Kho giao nhận Lộc Thọ-Nha Trang_Khánh Hòa</t>
  </si>
  <si>
    <t>Bưu Cục 21 Lý Tự Trọng-Nha Trang-Khánh Hòa</t>
  </si>
  <si>
    <t>HN Bưu cục 211 Lạc Long Quân - Hà Nội</t>
  </si>
  <si>
    <t>Bưu Cục 211 Lạc Long Quân-Q.Tây hồ-HN</t>
  </si>
  <si>
    <t>Kho giao nhận phường 12-Bình Thạnh_Hồ Chí Minh</t>
  </si>
  <si>
    <t>Bưu Cục 219 Nơ Trang Long-Q.Bình Thạnh-HCM 01</t>
  </si>
  <si>
    <t>Kho giao nhận phường 15-Bình Thạnh_Hồ Chí Minh</t>
  </si>
  <si>
    <t>Bưu Cục 219 Nơ Trang Long-Q.Bình Thạnh-HCM 02</t>
  </si>
  <si>
    <t>Kho giao nhận phường 19-Bình Thạnh_Hồ Chí Minh</t>
  </si>
  <si>
    <t>Bưu Cục 219 Nơ Trang Long-Q.Bình Thạnh-HCM 03</t>
  </si>
  <si>
    <t>HN Bưu cục 221 Kim Ngưu - Hà Nội</t>
  </si>
  <si>
    <t>Bưu Cục 221 Kim Ngưu-Q.Hai Bà Trưng-HN</t>
  </si>
  <si>
    <t>Kho giao nhận Hòa Bình_Hoà Bình</t>
  </si>
  <si>
    <t>Bưu Cục 224 Phùng Hưng-TP.Hòa Bình 01</t>
  </si>
  <si>
    <t>KV3 Bưu cục 782 Cù Chính Lan - Hòa Bình</t>
  </si>
  <si>
    <t>Bưu Cục 224 Phùng Hưng-TP.Hòa Bình 02</t>
  </si>
  <si>
    <t>Kho giao nhận Hà Đông_Hà Nội</t>
  </si>
  <si>
    <t>Bưu Cục 23 Ngõ 164 Ỷ La-Q.Hà Đông-HN</t>
  </si>
  <si>
    <t>Kho giao nhận Lạng Giang_Bắc Giang</t>
  </si>
  <si>
    <t>Bưu Cục 230 Lê Lợi-Lạng Giang-Bắc Giang</t>
  </si>
  <si>
    <t>Kho giao nhận Sa Pa_Lào Cai</t>
  </si>
  <si>
    <t>Bưu Cục 233 Điện Biên Phủ-Sa Pa-Lào Cai</t>
  </si>
  <si>
    <t>HCM Bưu cục 235 Phạm Hùng - Hồ Chí Minh</t>
  </si>
  <si>
    <t>Bưu Cục 235 Phạm Hùng-Q.8-HCM</t>
  </si>
  <si>
    <t>Kho giao nhận Đông Hà_Quảng Trị</t>
  </si>
  <si>
    <t>Bưu Cục 24 Âu Cơ-Đông Hà-Quảng Trị</t>
  </si>
  <si>
    <t>Kho giao nhận Củ Chi_Hồ Chí Minh</t>
  </si>
  <si>
    <t>Bưu Cục 242 Tỉnh Lộ 2-Củ Chi-HCM</t>
  </si>
  <si>
    <t>Kho giao nhận Hai Bà Trưng_Hà Nội</t>
  </si>
  <si>
    <t>Bưu Cục 25 Trương Định-Q.Hai Bà Trưng-HN 01</t>
  </si>
  <si>
    <t>Kho giao nhận Hoàng Mai_Hà Nội</t>
  </si>
  <si>
    <t>Bưu Cục 25 Trương Định-Q.Hai Bà Trưng-HN 02</t>
  </si>
  <si>
    <t>KV1 Bưu cục 250 Tôn Đức Thắng - Phan Thiết</t>
  </si>
  <si>
    <t>Bưu Cục 250 Tôn Đức Thắng-Phan Thiết-Bình Thuận</t>
  </si>
  <si>
    <t>HCM Bưu cục 252 Minh Phụng - Hồ Chí Minh</t>
  </si>
  <si>
    <t>Bưu Cục 252 Minh Phụng-Q.11-HCM</t>
  </si>
  <si>
    <t>Kho giao nhận Liên Chiểu_Đà Nẵng</t>
  </si>
  <si>
    <t>Bưu Cục 254-256 Âu Cơ-Q.Liên Chiểu-Đà Nẵng</t>
  </si>
  <si>
    <t>Kho giao nhận Phổ Yên_Thái Nguyên</t>
  </si>
  <si>
    <t>Bưu Cục 106 Phạm Văn Đồng-Phổ Yên-Thái Nguyên</t>
  </si>
  <si>
    <t>Kho giao nhận La Gi_Bình Thuận</t>
  </si>
  <si>
    <t>Bưu Cục 263 Nguyễn Trường Tộ-La Gi-Bình Thuận</t>
  </si>
  <si>
    <t>HN Bưu cục 263 Phố Vọng - Hà Nội</t>
  </si>
  <si>
    <t>Bưu Cục 263 Phố Vọng-Q.Hai Bà Trưng-HN</t>
  </si>
  <si>
    <t>HCM Bưu cục 271 Đỗ Xuân Hợp - Hồ Chí Minh</t>
  </si>
  <si>
    <t>Bưu Cục 271 Đỗ Xuân Hợp-Q.9-HCM</t>
  </si>
  <si>
    <t>Kho giao nhận Duy Xuyên_Quảng Nam</t>
  </si>
  <si>
    <t>Bưu Cục 274 Điện Biên Phủ-Duy Xuyên-Quảng Nam</t>
  </si>
  <si>
    <t>HN Bưu cục 275 Khâm _x001D_Thiên - Hà Nội</t>
  </si>
  <si>
    <t>Bưu Cục 275 Khâm Thiên-Q.Đống Đa-HN</t>
  </si>
  <si>
    <t>Kho giao nhận Hướng Hóa_Quảng Trị</t>
  </si>
  <si>
    <t>Bưu Cục 279 Lê Duẩn-Hướng Hóa-Quảng Trị</t>
  </si>
  <si>
    <t>Kho giao nhận Sơn La_Sơn La</t>
  </si>
  <si>
    <t>Bưu Cục 280 Trần Đăng Ninh-Sơn La-Sơn La 01</t>
  </si>
  <si>
    <t>KV3 Bưu cục 261 Chu Văn Thịnh - Sơn La</t>
  </si>
  <si>
    <t>Bưu Cục 280 Trần Đăng Ninh-Sơn La-Sơn La 02</t>
  </si>
  <si>
    <t>Kho giao nhận Móng Cái_Quảng Ninh</t>
  </si>
  <si>
    <t>Bưu Cục 29 Ngô Gia Tự-Móng Cái-Quảng Ninh 01</t>
  </si>
  <si>
    <t>KV3 Bưu cục Lô 60 Hùng Vương - Móng Cái</t>
  </si>
  <si>
    <t>Bưu Cục 29 Ngô Gia Tự-Móng Cái-Quảng Ninh 02</t>
  </si>
  <si>
    <t>Kho giao nhận Tuy Phong_Bình Thuận</t>
  </si>
  <si>
    <t>Bưu Cục 29 Trần Phú-Tuy Phong-Bình Thuận</t>
  </si>
  <si>
    <t>Kho giao nhận Phú Lộc_Huế</t>
  </si>
  <si>
    <t>Bưu Cục 290 Lý Thánh Tông-Phú Lộc-Huế</t>
  </si>
  <si>
    <t>HCM Bưu cục 291 Nguyễn Sơn - Hồ Chí Minh</t>
  </si>
  <si>
    <t>Bưu Cục 291 Nguyễn Sơn-Q.Tân Phú-HCM</t>
  </si>
  <si>
    <t>Kho giao nhận Cầu Giấy_Hà Nội</t>
  </si>
  <si>
    <t>Bưu Cục 299 Trung Kính-Q.Cầu Giấy-HN</t>
  </si>
  <si>
    <t>Kho giao nhận Quận 2_Hồ Chí Minh</t>
  </si>
  <si>
    <t>Bưu Cục 29A Đường Số 5-Q.2-HCM</t>
  </si>
  <si>
    <t>Kho giao nhận Hà Giang_Hà Giang</t>
  </si>
  <si>
    <t>Kho giao nhận Phường 2-Tân Bình_Hồ Chí Minh</t>
  </si>
  <si>
    <t xml:space="preserve">Bưu Cục 3/38 Bạch Đằng </t>
  </si>
  <si>
    <t>Bưu Cục 3/38 Bạch Đằng-Q.Tân Bình-HCM</t>
  </si>
  <si>
    <t>Kho giao nhận Hàm Tân_Bình Thuận</t>
  </si>
  <si>
    <t>Bưu Cục 30 Hùng Vương-Hàm Tân-Bình Thuận</t>
  </si>
  <si>
    <t>Kho giao nhận Bạc Liêu_Bạc Liêu</t>
  </si>
  <si>
    <t>Bưu Cục 30 Tôn Đức Thắng</t>
  </si>
  <si>
    <t>Kho giao nhận Quận 6_Hồ Chí Minh</t>
  </si>
  <si>
    <t>Bưu Cục 301C Bến Bình Đông-Q.8-HCM 01</t>
  </si>
  <si>
    <t>Kho giao nhận Quận 8_Hồ Chí Minh</t>
  </si>
  <si>
    <t>KV1 Bưu cục 307 Phan Đình Phùng - Pleiku</t>
  </si>
  <si>
    <t>Bưu Cục 307 Phan Đình Phùng-Pleiku-Gia Lai</t>
  </si>
  <si>
    <t>HN Bưu cục 325 Trần Cung - Hà Nội</t>
  </si>
  <si>
    <t>Bưu Cục 325 Trần Cung-Q.Bắc Từ Liêm-HN</t>
  </si>
  <si>
    <t>Kho giao nhận Bình Tân_Hồ Chí Minh</t>
  </si>
  <si>
    <t>Bưu Cục 327E Lê Văn Quới-Q.Bình Tân-HCM</t>
  </si>
  <si>
    <t>Bưu Cục 33 Lê Duẩn_Sóc Trăng</t>
  </si>
  <si>
    <t>Kho giao nhận Lâm Hà_Lâm Đồng</t>
  </si>
  <si>
    <t>Bưu Cục 33 Quang Trung-Lâm Hà-Lâm Đồng</t>
  </si>
  <si>
    <t>Kho giao nhận Quảng Ngãi_Quảng Ngãi</t>
  </si>
  <si>
    <t>Bưu Cục 340 Nguyễn Công Phương-TP.Quảng Ngãi</t>
  </si>
  <si>
    <t>Kho giao nhận Vĩnh Cửu_Đồng Nai</t>
  </si>
  <si>
    <t>Bưu Cục 346 Đường 767-Vĩnh Cửu-Đồng Nai</t>
  </si>
  <si>
    <t>Kho giao nhận Xuân Lộc_Đồng Nai</t>
  </si>
  <si>
    <t>Bưu Cục 346 Trần Phú-Xuân Lộc-Đồng Nai</t>
  </si>
  <si>
    <t>Kho giao nhận Bà Rịa_Bà Rịa-Vũng Tàu</t>
  </si>
  <si>
    <t>Bưu Cục 347 Trần Hưng Đạo-TP.Bà Rịa</t>
  </si>
  <si>
    <t>Kho giao nhận Việt Trì_Phú Thọ</t>
  </si>
  <si>
    <t>Bưu Cục 3499 Vân Phú-Việt Trì-Phú Thọ 01</t>
  </si>
  <si>
    <t>KV3 Bưu cục 1588 Hùng Vương - Việt Trì</t>
  </si>
  <si>
    <t>Bưu Cục 3499 Vân Phú-Việt Trì-Phú Thọ 02</t>
  </si>
  <si>
    <t>Kho giao nhận Lạng Sơn_Lạng Sơn</t>
  </si>
  <si>
    <t>Bưu Cục 35 Lục Giàng-Cao Lộc-Lạng Sơn</t>
  </si>
  <si>
    <t>Kho giao nhận Ngũ Hành Sơn_Đà Nẵng</t>
  </si>
  <si>
    <t>KV3 Bưu cục 353 Ngô Gia Tự - Bắc Ninh</t>
  </si>
  <si>
    <t>Bưu Cục 353 Ngô Gia Tự-TP.Bắc Ninh</t>
  </si>
  <si>
    <t>Kho giao nhận Phường 12-Tân Bình_Hồ Chí Minh</t>
  </si>
  <si>
    <t>Bưu Cục 353A Nguyễn Thái Bình-Q.Tân Bình-HCM 01</t>
  </si>
  <si>
    <t>HCM Bưu cục 353A Nguyễn Thái Bình - Hồ Chí Minh</t>
  </si>
  <si>
    <t>Bưu Cục 353A Nguyễn Thái Bình 2</t>
  </si>
  <si>
    <t>Bưu Cục 353A Nguyễn Thái Bình-Q.Tân Bình-HCM 02</t>
  </si>
  <si>
    <t>KV1 Bưu cục 361 Ba Mươi Tháng Tư - Vũng Tàu</t>
  </si>
  <si>
    <t>Kho giao nhận Sơn Tịnh_Quảng Ngãi</t>
  </si>
  <si>
    <t>KV3 Bưu cục 369 Trần Thái Tông - Thái Bình</t>
  </si>
  <si>
    <t>Bưu Cục 369 Trần Thái Tông-TP.Thái Bình</t>
  </si>
  <si>
    <t>Kho giao nhận Quận 7_Hồ Chí Minh</t>
  </si>
  <si>
    <t>Bưu Cục 37 Bế Văn Cấm-Q.7-HCM 01</t>
  </si>
  <si>
    <t>HCM Bưu cục 333 Nguyễn Thị Thập - Hồ Chí Minh</t>
  </si>
  <si>
    <t>Bưu Cục 37 Bế Văn Cấm-Q.7-HCM 02</t>
  </si>
  <si>
    <t>Kho giao nhận Quận 12_Hồ Chí Minh</t>
  </si>
  <si>
    <t>Kho giao nhận phường 1-Quận 10_Hồ Chí Minh</t>
  </si>
  <si>
    <t>HCM Bưu cục 370 Lê Hồng Phong - Hồ Chí Minh</t>
  </si>
  <si>
    <t>Bưu Cục 370 Lê Hồng Phong-Q.10-HCM 02</t>
  </si>
  <si>
    <t>Kho giao nhận Yên Bái_Yên Bái</t>
  </si>
  <si>
    <t>Bưu Cục 373 Thanh Niên-TP.Yên Bái</t>
  </si>
  <si>
    <t>Kho giao nhận Phú Giáo_Bình Dương</t>
  </si>
  <si>
    <t xml:space="preserve">Bưu Cục 376/38 Trảng Sắn </t>
  </si>
  <si>
    <t>Bưu Cục 376/38 Trảng Sắn-Phú Giáo-Bình Dương</t>
  </si>
  <si>
    <t>Kho giao nhận Chư Sê_Gia Lai</t>
  </si>
  <si>
    <t>Bưu Cục 38 Phan Đình Phùng-Chư Sê-Gia Lai</t>
  </si>
  <si>
    <t>Kho giao nhận Thủ Đức_Hồ Chí Minh</t>
  </si>
  <si>
    <t>Bưu Cục 38E Cây Keo-Q.Thủ Đức-HCM</t>
  </si>
  <si>
    <t>Kho giao nhận Rạch Giá_Kiên Giang</t>
  </si>
  <si>
    <t>Kho giao nhận Kiên Hải_Kiên Giang</t>
  </si>
  <si>
    <t>Bưu Cục 391 Lâm Quang Ky-Rạch Giá-Kiên Giang 02</t>
  </si>
  <si>
    <t>KV1 Bưu cục 71 Lạc Hồng - Rạch Giá</t>
  </si>
  <si>
    <t>Bưu Cục 391 Lâm Quang Ky-Rạch Giá-Kiên Giang 03</t>
  </si>
  <si>
    <t>Kho giao nhận Đà Lạt_Lâm Đồng</t>
  </si>
  <si>
    <t>Bưu Cục 391 Nguyễn Tử Lực-Đà Lạt-Lâm Đồng</t>
  </si>
  <si>
    <t>Kho giao nhận Hòa Thành_Tây Ninh</t>
  </si>
  <si>
    <t>Bưu Cục 393 Tôn Đức Thắng-Hòa Thành-Tây Ninh</t>
  </si>
  <si>
    <t>HN Bưu cục 397 Nguyễn Khang - Hà Nội</t>
  </si>
  <si>
    <t>Bưu Cục 397 Nguyễn Khang-Q.Cầu Giấy-HN</t>
  </si>
  <si>
    <t>Kho giao nhận Phường 9-Tân Bình_Hồ Chí Minh</t>
  </si>
  <si>
    <t>Bưu Cục 400 Âu Cơ-Q.Tân Bình-HCM 01</t>
  </si>
  <si>
    <t>Kho giao nhận Phường 10-Tân Bình_Hồ Chí Minh</t>
  </si>
  <si>
    <t>Bưu Cục 400 Âu Cơ-Q.Tân Bình-HCM 02</t>
  </si>
  <si>
    <t>HCM Bưu cục 400 Âu Cơ - Hồ Chí Minh</t>
  </si>
  <si>
    <t>Bưu Cục 400 Âu Cơ-Q.Tân Bình-HCM 03</t>
  </si>
  <si>
    <t>KV3 Bưu cục 430 Bắc Kạn - Thái Nguyên</t>
  </si>
  <si>
    <t>Bưu Cục 430 Bắc Kạn-TP.Thái Nguyên</t>
  </si>
  <si>
    <t>HCM Bưu cục 444 Lê Trọng Tấn - Hồ Chí Minh</t>
  </si>
  <si>
    <t>Bưu Cục 444 Lê Trọng Tấn-Q.Tân Phú-HCM</t>
  </si>
  <si>
    <t>KV1 Bưu cục 45 Lê Thánh Tông - Buôn Mê Thuột</t>
  </si>
  <si>
    <t>Bưu Cục 45 Lê Thánh Tông-Buôn Ma Thuột-Đắk Lắk</t>
  </si>
  <si>
    <t>Kho giao nhận Đức Trọng_Lâm Đồng</t>
  </si>
  <si>
    <t>Bưu Cục 45 Phan Đình Phùng-Đức Trọng-Lâm Đồng</t>
  </si>
  <si>
    <t>Kho giao nhận Tân An_Long An</t>
  </si>
  <si>
    <t>Bưu Cục 45/2b Quốc Lộ 62-Tân An-Long An 01</t>
  </si>
  <si>
    <t>KV1 Bưu cục 4 Bùi Chí Nhuận - Tân An</t>
  </si>
  <si>
    <t>Bưu Cục 45/2b Quốc Lộ 62-Tân An-Long An 02</t>
  </si>
  <si>
    <t>Kho giao nhận Tây Hồ_Hà Nội</t>
  </si>
  <si>
    <t>Bưu Cục 464 Âu Cơ-Q.Tây Hồ-HN</t>
  </si>
  <si>
    <t>Kho giao nhận Vũng Tàu_Bà Rịa-Vũng Tàu</t>
  </si>
  <si>
    <t>Bưu Cục 473A Bình Giã-TP.Vũng Tàu</t>
  </si>
  <si>
    <t>Kho giao nhận Trảng Bàng_Tây Ninh</t>
  </si>
  <si>
    <t xml:space="preserve">Bưu Cục 48 Đường 30/4 </t>
  </si>
  <si>
    <t>Bưu Cục 48 Đường 30/4-Trảng Bàng-Tây Ninh</t>
  </si>
  <si>
    <t>HN Bưu cục 482 Đội Cấn - Hà Nội</t>
  </si>
  <si>
    <t>Bưu Cục 482 Đội Cấn-Q.Ba Đình-HN</t>
  </si>
  <si>
    <t>Kho giao nhận Bãi Cháy_Quảng Ninh</t>
  </si>
  <si>
    <t>Bưu Cục 4B Hùng Thắng-Hạ Long-Quảng Ninh</t>
  </si>
  <si>
    <t>KV1 Bưu cục 500B Đồng Khởi - Bến Tre</t>
  </si>
  <si>
    <t>Bưu Cục 500B4 Đại Lộ Đồng Khởi-TP.Bến Tre</t>
  </si>
  <si>
    <t>Kho giao nhận Hà Tĩnh_Hà Tĩnh</t>
  </si>
  <si>
    <t>Bưu Cục 509 Trần Phú-TP.Hà Tĩnh</t>
  </si>
  <si>
    <t>Kho giao nhận Ba Vì_Hà Nội</t>
  </si>
  <si>
    <t>Bưu Cục 51 Tây Đằng-Ba Vì-HN</t>
  </si>
  <si>
    <t>Kho giao nhận Núi Thành_Quảng Nam</t>
  </si>
  <si>
    <t>Bưu Cục 52 Phạm Văn Đồng-Núi Thành-Quảng Nam</t>
  </si>
  <si>
    <t>Kho giao nhận Năm Căn_Cà Mau</t>
  </si>
  <si>
    <t>Bưu Cục 54 Hùng Vương-Năm Căn-Cà Mau</t>
  </si>
  <si>
    <t>Kho giao nhận Giang Biên_Hà Nội</t>
  </si>
  <si>
    <t>Bưu Cục 54 Nguyễn Văn Hưởng-Q.Long Biên-HN</t>
  </si>
  <si>
    <t>Kho giao nhận Thạch Cầu_Hà Nội</t>
  </si>
  <si>
    <t>Bưu Cục 54 Thạch Cầu-Q.Long Biên-HN</t>
  </si>
  <si>
    <t>KV3 Bưu cục 554 Lê Thanh Nghị - Hải Dương</t>
  </si>
  <si>
    <t>Bưu Cục 544 Lê Thanh Nghị-TP.Hải Dương</t>
  </si>
  <si>
    <t>KV3 Bưu cục 55 Trần Nguyên Hãn - Hải Phòng</t>
  </si>
  <si>
    <t>Bưu Cục 55 Trần Nguyên Hãn-Q.Lê Chân-Hải Phòng</t>
  </si>
  <si>
    <t>HN Bưu cục 551 Quang Trung - Hà Nội</t>
  </si>
  <si>
    <t>Bưu Cục 551 Quang Trung-Q.Hà Đông-HN</t>
  </si>
  <si>
    <t>Kho giao nhận Phú Quốc_Kiên Giang</t>
  </si>
  <si>
    <t>Bưu Cục 56 Lý Thường Kiệt-Đảo Phú Quốc-Kiên Giang</t>
  </si>
  <si>
    <t>Kho giao nhận Cam Ranh_Khánh Hòa</t>
  </si>
  <si>
    <t>Bưu Cục 56 Phan Đình Phùng-Cam Ranh-Khánh Hòa</t>
  </si>
  <si>
    <t>Kho giao nhận Thanh Xuân_Hà Nội</t>
  </si>
  <si>
    <t>Kho giao nhận Bắc Bình_Bình Thuận</t>
  </si>
  <si>
    <t>Bưu Cục 57C Ngô Gia Tự-Bắc Bình-Bình Thuận</t>
  </si>
  <si>
    <t>Kho giao nhận Thạch Bàn_Hà Nội</t>
  </si>
  <si>
    <t>Bưu Cục 6/318 Ngọc Trì-Q.Long Biên-HN</t>
  </si>
  <si>
    <t>Kho giao nhận phường 1-Bình Thạnh_Hồ Chí Minh</t>
  </si>
  <si>
    <t>Kho giao nhận phường 5-Bình Thạnh_Hồ Chí Minh</t>
  </si>
  <si>
    <t>Bưu Cục 608 Lê Quang Định-Q.Gò Vấp-HCM 02</t>
  </si>
  <si>
    <t>HCM Bưu cục 608 Lê Quang Định - Hồ Chí Minh</t>
  </si>
  <si>
    <t>Bưu Cục 608 Lê Quang Định-Q.Gò Vấp-HCM 03</t>
  </si>
  <si>
    <t>HCM Bưu cục 612 Phan Văn Trị - Hồ Chí Minh</t>
  </si>
  <si>
    <t>Bưu Cục 612 Phan Văn Trị</t>
  </si>
  <si>
    <t>Bưu Cục 612 Phan Văn Trị-Q.Gò Vấp-HCM</t>
  </si>
  <si>
    <t>HCM Bưu cục 617 Xô Việt Nghệ Tĩnh - Hồ Chí Minh</t>
  </si>
  <si>
    <t>Bưu Cục 617 Xô Viết Nghệ Tĩnh 1</t>
  </si>
  <si>
    <t>Bưu Cục 617 Xô Viết Nghệ Tĩnh-Q.Bình Thạnh-HCM 01</t>
  </si>
  <si>
    <t>Kho giao nhận phường 25-Bình Thạnh_Hồ Chí Minh</t>
  </si>
  <si>
    <t>HCM Bưu cục 62 Tô Ngọc Vân - Hồ Chí Minh</t>
  </si>
  <si>
    <t>Kho giao nhận Pleiku_Gia Lai</t>
  </si>
  <si>
    <t>Kho giao nhận An Khê_Gia Lai</t>
  </si>
  <si>
    <t>Kho giao nhận Đức Cơ_Gia Lai</t>
  </si>
  <si>
    <t>HCM Bưu cục 63 Vĩnh Hội - Hồ Chí Mình</t>
  </si>
  <si>
    <t>Bưu Cục 63 Vĩnh Hội-Q.4-HCM</t>
  </si>
  <si>
    <t>Kho giao nhận Gò Vấp_Hồ Chí Minh</t>
  </si>
  <si>
    <t>HN Bưu cục 644 Nguyễn Văn Cừ - Hà Nội</t>
  </si>
  <si>
    <t>Bưu Cục 644 Nguyễn Văn Cừ-Q.Long Biên-HN</t>
  </si>
  <si>
    <t>KV3 Bưu cục 256 Võ Nguyên Giáp - Bắc Kạn</t>
  </si>
  <si>
    <t>Bưu Cục 256 Võ Nguyên Giáp-TP.Bắc Kạn</t>
  </si>
  <si>
    <t>Kho giao nhận Cái Bè_Tiền Giang</t>
  </si>
  <si>
    <t>Kho giao nhận Cai Lậy_Tiền Giang</t>
  </si>
  <si>
    <t>Kho giao nhận Cửu Long_Trà Vinh</t>
  </si>
  <si>
    <t>Bưu Cục 66 Nguyễn Thị Minh Khai-TP.Trà Vinh</t>
  </si>
  <si>
    <t>Kho giao nhận Cà Mau_Cà Mau</t>
  </si>
  <si>
    <t>Bưu Cục 67F Hải Thượng Lãn Ông-TP.Cà Mau</t>
  </si>
  <si>
    <t>Kho giao nhận Chi Lăng_Lạng Sơn</t>
  </si>
  <si>
    <t>Bưu Cục 68 Khu Ga-Chi Lăng-Lạng Sơn</t>
  </si>
  <si>
    <t>Kho giao nhận Sóc Trăng_Sóc Trăng</t>
  </si>
  <si>
    <t>HCM Bưu cục 684 Tỉnh Lộ 10 - Hồ Chí Minh</t>
  </si>
  <si>
    <t>Bưu Cục 684 Tỉnh Lộ 10-Q.Bình Tân-HCM</t>
  </si>
  <si>
    <t>Kho giao nhận Buôn Hồ_Đắk Lắk</t>
  </si>
  <si>
    <t>Bưu Cục 685 Hùng Vương-Buôn Hồ-Đắk Lắk</t>
  </si>
  <si>
    <t>Kho giao nhận Phường 15-Phú Nhuận_Hồ Chí Minh</t>
  </si>
  <si>
    <t>Bưu Cục 69 Hoàng Văn Thụ 1</t>
  </si>
  <si>
    <t>Bưu Cục 69 Hoàng Văn Thụ-Q.Phú Nhuận-HCM 01</t>
  </si>
  <si>
    <t>Kho giao nhận Phường 14-Phú Nhuận_Hồ Chí Minh</t>
  </si>
  <si>
    <t>Bưu Cục 69 Hoàng Văn Thụ 2</t>
  </si>
  <si>
    <t>HCM Bưu cục 69 Hoàng Văn Thụ - Hồ Chí Minh</t>
  </si>
  <si>
    <t>Bưu Cục 69 Hoàng Văn Thụ 3</t>
  </si>
  <si>
    <t>Bưu Cục 69 Hoàng Văn Thụ-Q.Phú Nhuận-HCM 03</t>
  </si>
  <si>
    <t>Kho giao nhận Vĩnh Long_Vĩnh Long</t>
  </si>
  <si>
    <t>Bưu Cục 69/20E Phó Cơ Điều-TP.Vĩnh Long</t>
  </si>
  <si>
    <t>Kho giao nhận Nam Định_Nam Định</t>
  </si>
  <si>
    <t>Bưu Cục 693 Điện Biên-TP.Nam Định 01</t>
  </si>
  <si>
    <t>KV3 Bưu cục 308 Hoàng Văn Thụ - Nam Định</t>
  </si>
  <si>
    <t>Bưu Cục 693 Điện Biên-TP.Nam Định 02</t>
  </si>
  <si>
    <t>Kho giao nhận Thuận An_Bình Dương</t>
  </si>
  <si>
    <t>Bưu Cục 7 Đường D20-Thuận An-Bình Dương</t>
  </si>
  <si>
    <t>Kho giao nhận Mai Sơn_Sơn La</t>
  </si>
  <si>
    <t>Bưu Cục 724 Tô Hiệu-Mai Sơn-Sơn La</t>
  </si>
  <si>
    <t>Kho giao nhận Ba Đồn_Quảng Bình</t>
  </si>
  <si>
    <t>Bưu Cục 73 Lâm Úy-Ba Đồn-Quảng Bình</t>
  </si>
  <si>
    <t>KV3 Bưu cục 73 Quang Trung - Tuyên Quang</t>
  </si>
  <si>
    <t>Bưu Cục 73 Quang Trung-Tuyên Quang-Tuyên Quang</t>
  </si>
  <si>
    <t>Kho giao nhận Huế_Huế</t>
  </si>
  <si>
    <t>Bưu Cục 74 Nguyễn Tất Thành-Hương Thủy-Huế</t>
  </si>
  <si>
    <t>Kho giao nhận Tây Ninh_Tây Ninh</t>
  </si>
  <si>
    <t>Bưu Cục 74/15 Huỳnh Tấn Phát-TP.Tây Ninh</t>
  </si>
  <si>
    <t>Kho giao nhận Phú Lương_Thái Nguyên</t>
  </si>
  <si>
    <t>Bưu Cục 757 Dương Tự Minh-Phú Lương-Thái Nguyên</t>
  </si>
  <si>
    <t>KV3 Bưu cục 759 Lê Thánh Tông - Hạ Long</t>
  </si>
  <si>
    <t>Bưu Cục 759 Lê Thánh Tông-Hạ Long-Quảng Ninh</t>
  </si>
  <si>
    <t>Kho giao nhận Dĩ An_Bình Dương</t>
  </si>
  <si>
    <t>Bưu Cục Số 76 Bùi Thị Cội</t>
  </si>
  <si>
    <t>Bưu Cục 76 Bùi Thị Cội-Dĩ An-Bình Dương</t>
  </si>
  <si>
    <t>Kho giao nhận Thanh Khê_Đà Nẵng</t>
  </si>
  <si>
    <t>Bưu Cục 77 Nguyễn Phước Thái-Q.Thanh Khê-Đà Nẵng</t>
  </si>
  <si>
    <t>Kho giao nhận Phú Vang_Huế</t>
  </si>
  <si>
    <t>Bưu Cục 77 Thái Dương-Phú Vang-Huế</t>
  </si>
  <si>
    <t>Kho giao nhận Nhà Bè_Hồ Chí Minh</t>
  </si>
  <si>
    <t>Bưu Cục 785C Nguyễn Bình</t>
  </si>
  <si>
    <t>Bưu Cục 785C Nguyễn Bình-Nhà Bè-HCM</t>
  </si>
  <si>
    <t>Kho giao nhận Đan Phượng_Hà Nội</t>
  </si>
  <si>
    <t>Bưu Cục 8 Đình Nguyên-Đan Phượng-HN</t>
  </si>
  <si>
    <t>Kho giao nhận Cẩm Xuyên_Hà Tĩnh</t>
  </si>
  <si>
    <t>Bưu Cục 81 Ngô Mây-Cẩm Xuyên-Hà Tĩnh</t>
  </si>
  <si>
    <t>Kho giao nhận Bắc Kạn_Bắc Kạn</t>
  </si>
  <si>
    <t>Kho giao nhận Hải Dương_Hải Dương</t>
  </si>
  <si>
    <t>Bưu Cục 84.04 Thanh Bình-TP.Hải Dương</t>
  </si>
  <si>
    <t>KV3 Bưu cục 84A Châu Cầu - Hà Nam</t>
  </si>
  <si>
    <t>Bưu Cục 84A Châu Cầu-Phủ Lý-Hà Nam</t>
  </si>
  <si>
    <t>Kho giao nhận Hương Sơn_Hà Tĩnh</t>
  </si>
  <si>
    <t>Bưu Cục 85 Trần Kim Xuyến-Hương Sơn-Hà Tĩnh</t>
  </si>
  <si>
    <t>Kho giao nhận Tuy Hòa_Phú Yên</t>
  </si>
  <si>
    <t>Bưu Cục 86 Lê Lợi-Tuy Hòa-Phú Yên 01</t>
  </si>
  <si>
    <t>KV1 Bưu cục 114 Lê Thánh Tôn - Tuy Hoà</t>
  </si>
  <si>
    <t>Bưu Cục 86 Lê Lợi-Tuy Hòa-Phú Yên 02</t>
  </si>
  <si>
    <t>Kho giao nhận Phú Mỹ_Bình Dương</t>
  </si>
  <si>
    <t>Bưu Cục 870 Huỳnh Văn Lũy-Thủ Dầu Một-Bình Dương</t>
  </si>
  <si>
    <t>HN Bưu cục 88 Nguyễn Khánh Toàn - Hà Nội</t>
  </si>
  <si>
    <t>Bưu Cục 88 Nguyễn Khánh Toàn-Q.Cầu Giấy-HN</t>
  </si>
  <si>
    <t>Kho giao nhận Đồng Xoài_Bình Phước</t>
  </si>
  <si>
    <t>Bưu Cục 889 Quốc Lộ 14-Đồng Xoài-Bình Phước</t>
  </si>
  <si>
    <t>Kho giao nhận Ba Tri_Bến Tre</t>
  </si>
  <si>
    <t>Bưu Cục 89 Nguyễn Thị Định-TP.Bến Tre 01</t>
  </si>
  <si>
    <t>Kho giao nhận Bến Tre_Bến Tre</t>
  </si>
  <si>
    <t>Bưu Cục 89 Nguyễn Thị Định-TP.Bến Tre 02</t>
  </si>
  <si>
    <t>HCM Bưu cục 90 Bà Hom - Hồ Chí Minh</t>
  </si>
  <si>
    <t>Bưu Cục 90 Bà Hom-Q.6-HCM</t>
  </si>
  <si>
    <t>Kho giao nhận Uông Bí_Quảng Ninh</t>
  </si>
  <si>
    <t>Bưu Cục 90 Trần Phú-Uông Bí-Quảng Ninh</t>
  </si>
  <si>
    <t>HCM Bưu cục 94/6B Nguyễn Ảnh Thủ - Hồ Chí Minh</t>
  </si>
  <si>
    <t>Bưu Cục 90/6B Nguyễn Ảnh Thủ</t>
  </si>
  <si>
    <t>Bưu Cục 90/6B Nguyễn Ảnh Thủ-Q.12-HCM</t>
  </si>
  <si>
    <t>HCM Bưu cục 925 Luỹ Bán Bích - Hồ Chí Minh</t>
  </si>
  <si>
    <t>Bưu Cục 925 Lũy Bán Bích-Q.Tân Phú-HCM</t>
  </si>
  <si>
    <t>KV1 Bưu cục 94 Nguyễn Công Trứ - Đà Lạt</t>
  </si>
  <si>
    <t>Bưu Cục 94 Nguyễn Công Trứ-Đà Lạt-Lâm Đồng</t>
  </si>
  <si>
    <t>Kho giao nhận Biên Hòa_Đồng Nai</t>
  </si>
  <si>
    <t>Bưu Cục 96/4 Trương Định-Biên Hòa-Đồng Nai 01</t>
  </si>
  <si>
    <t>KV1 Bưu cục 219 Phạm Văn Thuận - Biên Hoà</t>
  </si>
  <si>
    <t>Bưu Cục 96/4 Trương Định-Biên Hòa-Đồng Nai 02</t>
  </si>
  <si>
    <t>HN Bưu cục 97 Thiên Hiền - Hà Nội</t>
  </si>
  <si>
    <t>Bưu Cục 97 Thiên Hiền-Q.Nam Từ Liêm-HN</t>
  </si>
  <si>
    <t>Kho giao nhận Giá Rai_Bạc Liêu</t>
  </si>
  <si>
    <t>Bưu Cục 99 Quốc Lộ 1A-Giá Rai-Bạc Liêu</t>
  </si>
  <si>
    <t>Kho giao nhận Châu Đức_Bà Rịa-Vũng Tàu</t>
  </si>
  <si>
    <t>Kho giao nhận A Lưới_Huế</t>
  </si>
  <si>
    <t>Bưu Cục A Lưới-Huế</t>
  </si>
  <si>
    <t>Kho giao nhận An Nhơn_Bình Định</t>
  </si>
  <si>
    <t>Bưu Cục An Nhơn-An Nhơn-Bình Định</t>
  </si>
  <si>
    <t>Kho giao nhận Anh Sơn_Nghệ An</t>
  </si>
  <si>
    <t>Bưu Cục Anh Sơn-Nghệ An</t>
  </si>
  <si>
    <t>Kho giao nhận Bắc Sơn_Lạng Sơn</t>
  </si>
  <si>
    <t>Bưu Cục Bắc Sơn-Lạng Sơn</t>
  </si>
  <si>
    <t>Kho giao nhận Bắc Tân Uyên_Bình Dương</t>
  </si>
  <si>
    <t>Bưu Cục Bắc Tân Uyên-Bình Dương</t>
  </si>
  <si>
    <t>Kho giao nhận Bắc Yên_Sơn La</t>
  </si>
  <si>
    <t>Bưu Cục Bắc Yên-Sơn La</t>
  </si>
  <si>
    <t>Kho giao nhận Bảo Lạc_Cao Bằng</t>
  </si>
  <si>
    <t>Bưu Cục Bảo Lạc-Cao Bằng</t>
  </si>
  <si>
    <t>Kho giao nhận Bàu Bàng_Bình Dương</t>
  </si>
  <si>
    <t>Bưu Cục Bàu Bàng-Bình Dương</t>
  </si>
  <si>
    <t>Kho giao nhận Bến Cát_Bình Dương</t>
  </si>
  <si>
    <t>Bưu Cục Bến Cát-Bình Dương</t>
  </si>
  <si>
    <t>Kho giao nhận Gò Dầu_Tây Ninh</t>
  </si>
  <si>
    <t>Bưu Cục Bến Cầu-Tây Ninh</t>
  </si>
  <si>
    <t>Kho giao nhận Bình Giang_Hải Dương</t>
  </si>
  <si>
    <t>Bưu Cục Bình Giang-Hải Dương</t>
  </si>
  <si>
    <t>Kho giao nhận Bình Lục_Hà Nam</t>
  </si>
  <si>
    <t>Bưu Cục Bình Lục-Hà Nam</t>
  </si>
  <si>
    <t>Kho giao nhận Bình Minh_Vĩnh Long</t>
  </si>
  <si>
    <t>Bưu Cục Bình Minh-Vĩnh Long</t>
  </si>
  <si>
    <t>Kho giao nhận Bình Sơn_Quảng Ngãi</t>
  </si>
  <si>
    <t>Bưu Cục Bình Sơn-Quảng Ngãi</t>
  </si>
  <si>
    <t>Kho giao nhận Bình Xuyên_Vĩnh Phúc</t>
  </si>
  <si>
    <t>Bưu Cục Bình Xuyên-Vĩnh Phúc</t>
  </si>
  <si>
    <t>Kho giao nhận Bố Trạch_Quảng Bình</t>
  </si>
  <si>
    <t>Bưu Cục Bố Trạch-Quảng Bình</t>
  </si>
  <si>
    <t>Kho giao nhận Cái Nước_Cà Mau</t>
  </si>
  <si>
    <t>Bưu Cục Cái Nước-Cà Mau</t>
  </si>
  <si>
    <t>Kho giao nhận Cẩm Giàng_Hải Dương</t>
  </si>
  <si>
    <t>Bưu Cục Cẩm Giàng-Hải Dương</t>
  </si>
  <si>
    <t>Kho giao nhận Cam Lâm_Khánh Hòa</t>
  </si>
  <si>
    <t>Bưu Cục Cam Lâm-Khánh Hòa</t>
  </si>
  <si>
    <t>Kho giao nhận Cẩm Mỹ_Đồng Nai</t>
  </si>
  <si>
    <t>Bưu Cục Cẩm Mỹ-Đồng Nai</t>
  </si>
  <si>
    <t>Kho giao nhận Cẩm Phả_Quảng Ninh</t>
  </si>
  <si>
    <t>Bưu cục Cẩm Thành-Cẩm Phả-Quảng Ninh 01</t>
  </si>
  <si>
    <t>KV3 Bưu cục Chợ Ba Tầng - Cẩm Phả</t>
  </si>
  <si>
    <t>Bưu cục Cẩm Thành-Cẩm Phả-Quảng Ninh 02</t>
  </si>
  <si>
    <t>Kho giao nhận Cần Đước_Long An</t>
  </si>
  <si>
    <t>Bưu Cục Cần Đước-Long An</t>
  </si>
  <si>
    <t>Kho giao nhận Cần Giờ_Hồ Chí Minh</t>
  </si>
  <si>
    <t>Bưu Cục Cần Giờ-HCM</t>
  </si>
  <si>
    <t>Kho giao nhận Châu Phú_An Giang</t>
  </si>
  <si>
    <t>Bưu Cục Châu Phú-An Giang</t>
  </si>
  <si>
    <t>Kho giao nhận Châu Thành A_Hậu Giang</t>
  </si>
  <si>
    <t>Bưu Cục Châu Thành A-Hậu Giang</t>
  </si>
  <si>
    <t>Kho giao nhận Châu Thành_Bến Tre</t>
  </si>
  <si>
    <t>Bưu Cục Châu Thành-Bến Tre</t>
  </si>
  <si>
    <t>Kho giao nhận Châu Thành_Tiền Giang</t>
  </si>
  <si>
    <t>Bưu Cục Châu Thành-Tiền Giang</t>
  </si>
  <si>
    <t>Kho giao nhận Chí Linh_Hải Dương</t>
  </si>
  <si>
    <t>Bưu Cục Chí Linh-Hải Dương</t>
  </si>
  <si>
    <t>Kho giao nhận Chợ Mới_An Giang</t>
  </si>
  <si>
    <t>Bưu Cục Chợ Mới-An Giang</t>
  </si>
  <si>
    <t>Kho giao nhận Chơn Thành_Bình Phước</t>
  </si>
  <si>
    <t>Bưu Cục Chơn Thành-Bình Phước</t>
  </si>
  <si>
    <t>Kho giao nhận Côn Đảo_Bà Rịa-Vũng Tàu</t>
  </si>
  <si>
    <t>Bưu Cục Côn Đảo-Bà Rịa Vũng Tàu</t>
  </si>
  <si>
    <t>Kho giao nhận Cư Jút_Đắc Nông</t>
  </si>
  <si>
    <t>Bưu Cục Cư Jút-Đắk Nông</t>
  </si>
  <si>
    <t>Kho giao nhận Cư Kuin_Đắk Lắk</t>
  </si>
  <si>
    <t>Bưu Cục Cư Kuin-Đắk Lắk</t>
  </si>
  <si>
    <t>Kho giao nhận Cửa Ông_Quảng Ninh</t>
  </si>
  <si>
    <t>Bưu cục Cửa Ông-Cẩm Phả-Quảng Ninh</t>
  </si>
  <si>
    <t>Kho giao nhận Cát Tiên_Lâm Đồng</t>
  </si>
  <si>
    <t>Bưu Cục Đạ Huoai-Lâm Đồng</t>
  </si>
  <si>
    <t>Kho giao nhận Thanh Hóa_Thanh Hóa</t>
  </si>
  <si>
    <t>Bưu Cục Đại Lộ CSEDP-TP.Thanh Hóa</t>
  </si>
  <si>
    <t>Kho giao nhận Đại Từ_Thái Nguyên</t>
  </si>
  <si>
    <t>Bưu Cục Đại Từ</t>
  </si>
  <si>
    <t>Bưu Cục Đại Từ-Thái Nguyên</t>
  </si>
  <si>
    <t>Kho giao nhận Đắk Mil_Đắc Nông</t>
  </si>
  <si>
    <t>Bưu Cục Đắk Mil-Đắk Nông</t>
  </si>
  <si>
    <t>Kho giao nhận Đắk Song_Đắc Nông</t>
  </si>
  <si>
    <t>Bưu Cục Đắk Song-Đắk Nông</t>
  </si>
  <si>
    <t>Kho giao nhận Đầm Dơi_Cà Mau</t>
  </si>
  <si>
    <t>Bưu Cục Đầm Dơi-Cà Mau</t>
  </si>
  <si>
    <t>Kho giao nhận Đảo Lý Sơn_Quảng Ngãi</t>
  </si>
  <si>
    <t>Bưu Cục Đảo Lý Sơn-Quảng Ngãi</t>
  </si>
  <si>
    <t>Kho giao nhận Đảo Phú Quý_Bình Thuận</t>
  </si>
  <si>
    <t>Bưu Cục Đảo Phú Quý-Bình Thuận</t>
  </si>
  <si>
    <t>Kho giao nhận Vân Đồn_Quảng Ninh</t>
  </si>
  <si>
    <t>Bưu Cục Đảo Vân Đồn-Quảng Ninh</t>
  </si>
  <si>
    <t>Kho giao nhận Điện Bàn_Quảng Nam</t>
  </si>
  <si>
    <t>Bưu Cục Điện Bàn-Quảng Nam</t>
  </si>
  <si>
    <t>Kho giao nhận Diễn Châu_Nghệ An</t>
  </si>
  <si>
    <t>Bưu Cục Diễn Châu-Nghệ An</t>
  </si>
  <si>
    <t>Kho giao nhận Diên Khánh_Khánh Hòa</t>
  </si>
  <si>
    <t>Bưu Cục Diên Khánh-Khánh Hòa</t>
  </si>
  <si>
    <t>Kho giao nhận Định Quán_Đồng Nai</t>
  </si>
  <si>
    <t>Bưu Cục Định Quán-Đồng Nai</t>
  </si>
  <si>
    <t>Kho giao nhận Đô Lương_Nghệ An</t>
  </si>
  <si>
    <t>Bưu Cục Đô Lương-Nghệ An</t>
  </si>
  <si>
    <t>Kho giao nhận Đoan Hùng_Phú Thọ</t>
  </si>
  <si>
    <t>Bưu Cục Đoan Hùng-Phú Thọ</t>
  </si>
  <si>
    <t>Kho giao nhận Đơn Dương_Lâm Đồng</t>
  </si>
  <si>
    <t>Bưu Cục Đơn Dương-Lâm Đồng</t>
  </si>
  <si>
    <t>Kho giao nhận Đông Anh_Hà Nội</t>
  </si>
  <si>
    <t>Bưu Cục Đông Anh-HN</t>
  </si>
  <si>
    <t>Kho giao nhận Đông Hòa_Phú Yên</t>
  </si>
  <si>
    <t>Bưu Cục Đông Hòa-Phú Yên</t>
  </si>
  <si>
    <t>Kho giao nhận Đông Hưng_Thái Bình</t>
  </si>
  <si>
    <t>Bưu Cục Đông Hưng</t>
  </si>
  <si>
    <t>Bưu Cục Đông Hưng-Thái Bình</t>
  </si>
  <si>
    <t>Kho giao nhận Đồng Hỷ_Thái Nguyên</t>
  </si>
  <si>
    <t>Bưu Cục Đồng Hỷ-Thái Nguyên</t>
  </si>
  <si>
    <t>Kho giao nhận Đông Triều_Quảng Ninh</t>
  </si>
  <si>
    <t>Bưu Cục Đông Triều-Quảng Ninh</t>
  </si>
  <si>
    <t>Kho giao nhận Đức Hòa_Long An</t>
  </si>
  <si>
    <t>Bưu Cục Đức Hòa-Long An</t>
  </si>
  <si>
    <t>Kho giao nhận Đức Huệ_Long An</t>
  </si>
  <si>
    <t>Bưu Cục Đức Huệ-Long An</t>
  </si>
  <si>
    <t>Kho Giao Nhận Duy Tiên_Hà Nam</t>
  </si>
  <si>
    <t>Bưu Cục Duy Tiên-Hà Nam</t>
  </si>
  <si>
    <t>Kho giao nhận Duyên Hải_Trà Vinh</t>
  </si>
  <si>
    <t>Bưu Cục Duyên Hải-Trà Vinh</t>
  </si>
  <si>
    <t>Kho giao nhận Eahleo_Đắk Lắk</t>
  </si>
  <si>
    <t>Bưu Cục Ea H leo-Đắk Lắk</t>
  </si>
  <si>
    <t>Kho giao nhận EaKar_Đắk Lắk</t>
  </si>
  <si>
    <t>Bưu Cục Ea Kar-Đắk Lắk</t>
  </si>
  <si>
    <t>KV3 Bưu cục 54A Phố Nối - Hưng Yên</t>
  </si>
  <si>
    <t>Bưu Cục Giai Phạm-Yên Mỹ-Hưng Yên</t>
  </si>
  <si>
    <t>Kho giao nhận Giồng Riềng_Kiên Giang</t>
  </si>
  <si>
    <t>Bưu Cục Giồng Riềng-Kiên Giang</t>
  </si>
  <si>
    <t>Kho giao nhận Phú Thọ_Phú Thọ</t>
  </si>
  <si>
    <t>Bưu Cục Hà Lộc-TP.Phú Thọ</t>
  </si>
  <si>
    <t>Kho giao nhận Hạ Long_Quảng Ninh</t>
  </si>
  <si>
    <t>Bưu Cục Hạ Long-Quảng Ninh</t>
  </si>
  <si>
    <t>Kho giao nhận Hà Trung_Thanh Hóa</t>
  </si>
  <si>
    <t>Bưu Cục Hà Trung-Thanh Hóa</t>
  </si>
  <si>
    <t>Kho giao nhận Hải Hậu_Nam Định</t>
  </si>
  <si>
    <t>Bưu Cục Hải Hậu-Nam Định</t>
  </si>
  <si>
    <t>Kho giao nhận Hải Lăng_Quảng Trị</t>
  </si>
  <si>
    <t>Bưu Cục Hải Lăng-Quảng Trị</t>
  </si>
  <si>
    <t>Kho giao nhận Hàm Thuận Bắc_Bình Thuận</t>
  </si>
  <si>
    <t>Bưu Cục Hàm Thuận Bắc-Bình Thuận</t>
  </si>
  <si>
    <t>Kho giao nhận Hàm Thuận Nam_Bình Thuận</t>
  </si>
  <si>
    <t>Bưu Cục Hàm Thuận Nam-Bình Thuận</t>
  </si>
  <si>
    <t>Kho giao nhận Hàm Yên_Tuyên Quang</t>
  </si>
  <si>
    <t xml:space="preserve">Bưu Cục Hàm Yên </t>
  </si>
  <si>
    <t>Bưu Cục Hàm Yên-Tuyên Quang</t>
  </si>
  <si>
    <t>Kho giao nhận Hậu Lộc_Thanh Hóa</t>
  </si>
  <si>
    <t>Bưu Cục Hậu Lộc-Thanh Hóa</t>
  </si>
  <si>
    <t>Kho giao nhận Hiệp Hòa_Bắc Giang</t>
  </si>
  <si>
    <t>Bưu Cục Hiệp Hòa-Hiệp Hòa-Bắc Giang</t>
  </si>
  <si>
    <t>Kho giao nhận Hòa Vang_Đà Nẵng</t>
  </si>
  <si>
    <t>Bưu Cục Hòa Vang-Đà Nẵng</t>
  </si>
  <si>
    <t>Kho giao nhận Hoài Đức_Hà Nội</t>
  </si>
  <si>
    <t>Bưu Cục Hoài Đức-HN</t>
  </si>
  <si>
    <t>Bưu Cục Hoài Nhơn-Bình Định</t>
  </si>
  <si>
    <t>Kho giao nhận Hoàng Su Phì_Hà Giang</t>
  </si>
  <si>
    <t>Bưu Cục Hoàng Su Phì-Hà Giang</t>
  </si>
  <si>
    <t>Kho giao nhận Hóc Môn_Hồ Chí Minh</t>
  </si>
  <si>
    <t>Bưu Cục Hóc Môn</t>
  </si>
  <si>
    <t>Bưu Cục Hóc Môn-HCM</t>
  </si>
  <si>
    <t>Kho giao nhận Hòn Đất_Kiên Giang</t>
  </si>
  <si>
    <t>Bưu Cục Hòn Đất-Kiên Giang</t>
  </si>
  <si>
    <t>Kho giao nhận Hồng Ngự_Đồng Tháp</t>
  </si>
  <si>
    <t>Bưu Cục Hồng Ngự-Đồng Tháp</t>
  </si>
  <si>
    <t>Kho giao nhận Tuyên Quang_Tuyên Quang</t>
  </si>
  <si>
    <t>Bưu Cục Hồng Thái-TP.Tuyên Quang</t>
  </si>
  <si>
    <t>Kho giao nhận Hữu Lũng_Lạng Sơn</t>
  </si>
  <si>
    <t>Bưu Cục Hữu Lũng-Lạng Sơn</t>
  </si>
  <si>
    <t>Kho giao nhận Hải Phòng_Hải Phòng</t>
  </si>
  <si>
    <t>Bưu Cục KCN Vĩnh Niệm-Q.Lê Chân-Hải Phòng</t>
  </si>
  <si>
    <t>Kho giao nhận Khoái Châu_Hưng Yên</t>
  </si>
  <si>
    <t>Bưu Cục Khoái Châu-Hưng Yên</t>
  </si>
  <si>
    <t>Kho giao nhận Kiến Tường_Long An</t>
  </si>
  <si>
    <t>Bưu Cục Kiến Tường-Long An</t>
  </si>
  <si>
    <t>Kho giao nhận Kim Thành_Hải Dương</t>
  </si>
  <si>
    <t>Bưu Cục Kim Thành-Hải Dương</t>
  </si>
  <si>
    <t>Kho giao nhận Kinh Môn_Hải Dương</t>
  </si>
  <si>
    <t>Bưu Cục Kinh Môn-Hải Dương</t>
  </si>
  <si>
    <t>Kho giao nhận Kon PLông_Kon Tum</t>
  </si>
  <si>
    <t>Bưu Cục Kon Plông-Kon Tum</t>
  </si>
  <si>
    <t>Kho giao nhận Krông Năng_Đắk Lắk</t>
  </si>
  <si>
    <t>Bưu Cục Krông Năng-Đắk Lắk</t>
  </si>
  <si>
    <t>Kho giao nhận Kỳ Anh_Hà Tĩnh</t>
  </si>
  <si>
    <t>Bưu Cục Kỳ Trinh-Kỳ Anh-Hà Tĩnh</t>
  </si>
  <si>
    <t>Kho giao nhận Lâm Thao_Phú Thọ</t>
  </si>
  <si>
    <t>Bưu Cục Lâm Thao-Phú Thọ</t>
  </si>
  <si>
    <t>Kho giao nhận Tam Kỳ_Quảng Nam</t>
  </si>
  <si>
    <t>Bưu Cục Lê Anh Xuân-Tam Kỳ-Quảng Nam</t>
  </si>
  <si>
    <t>Kho giao nhận Lệ Thủy_Quảng Bình</t>
  </si>
  <si>
    <t>Bưu Cục Lệ Thủy-Quảng Bình</t>
  </si>
  <si>
    <t>Kho giao nhận Lộc Ninh_Bình Phước</t>
  </si>
  <si>
    <t>Bưu Cục Lộc Ninh</t>
  </si>
  <si>
    <t>Bưu Cục Lộc Ninh-Bình Phước</t>
  </si>
  <si>
    <t>Kho giao nhận Long Điền_Bà Rịa-Vũng Tàu</t>
  </si>
  <si>
    <t>Bưu Cục Long Điền</t>
  </si>
  <si>
    <t>Bưu Cục Long Điền-Bà Rịa Vũng Tàu</t>
  </si>
  <si>
    <t>Kho giao nhận Long Khánh_Đồng Nai</t>
  </si>
  <si>
    <t>Bưu Cục Long Khánh-Đồng Nai</t>
  </si>
  <si>
    <t>Kho giao nhận Chương Mỹ_Hà Nội</t>
  </si>
  <si>
    <t>Bưu Cục Long Phụng-Chương Mỹ-HN</t>
  </si>
  <si>
    <t>Kho giao nhận Long Phước-Long Thành_Đồng Nai</t>
  </si>
  <si>
    <t>Bưu Cục Long Phước</t>
  </si>
  <si>
    <t>Bưu Cục Long Phước-Long Thành-Đồng Nai</t>
  </si>
  <si>
    <t>Kho giao nhận Lục Nam_Bắc Giang</t>
  </si>
  <si>
    <t>Bưu Cục Lục Nam-Bắc Giang</t>
  </si>
  <si>
    <t>Kho giao nhận Lục Ngạn_Bắc Giang</t>
  </si>
  <si>
    <t>Bưu Cục Lục Ngạn-Bắc Giang</t>
  </si>
  <si>
    <t>Kho giao nhận Lương Sơn_Hòa Bình</t>
  </si>
  <si>
    <t>Bưu Cục Lương Sơn-Hòa Bình</t>
  </si>
  <si>
    <t>Kho giao nhận Mê Linh_Hà Nội</t>
  </si>
  <si>
    <t>Bưu Cục Mê Linh-HN</t>
  </si>
  <si>
    <t>Kho giao nhận Mèo Vạc_Hà Giang</t>
  </si>
  <si>
    <t>Bưu Cục Mèo Vạc-Hà Giang</t>
  </si>
  <si>
    <t>Kho giao nhận Minh Hóa_Quảng Bình</t>
  </si>
  <si>
    <t>Bưu Cục Minh Hóa-Quảng Bình</t>
  </si>
  <si>
    <t>Kho giao nhận Mỏ Cày Nam_Bến Tre</t>
  </si>
  <si>
    <t>Bưu Cục Mỏ Cày Nam</t>
  </si>
  <si>
    <t>Bưu Cục Mỏ Cày Nam-Bến Tre</t>
  </si>
  <si>
    <t>Kho giao nhận Mộ Đức_Quảng Ngãi</t>
  </si>
  <si>
    <t>Bưu Cục Mộ Đức-Quảng Ngãi</t>
  </si>
  <si>
    <t>Kho giao nhận Mộc Châu_Sơn La</t>
  </si>
  <si>
    <t>Bưu Cục Mộc Châu-Sơn La</t>
  </si>
  <si>
    <t>Kho giao nhận Mường Tè_Lai Châu</t>
  </si>
  <si>
    <t>Bưu Cục Mường Tè-Lai Châu</t>
  </si>
  <si>
    <t>Kho giao nhận Mỹ Đức_Hà Nội</t>
  </si>
  <si>
    <t>Bưu Cục Mỹ Đức-HN</t>
  </si>
  <si>
    <t>Kho giao nhận Mỹ Hào_Hưng Yên</t>
  </si>
  <si>
    <t>Bưu Cục Mỹ Hào-Hưng Yên</t>
  </si>
  <si>
    <t>Kho giao nhận Mỹ Xuyên_Sóc Trăng</t>
  </si>
  <si>
    <t>Bưu Cục Mỹ Xuyên-Sóc Trăng</t>
  </si>
  <si>
    <t>Kho giao nhận Nam Trực_Nam Định</t>
  </si>
  <si>
    <t>Bưu Cục Nam Trực-Nam Định</t>
  </si>
  <si>
    <t>Kho giao nhận Thái Hòa_Nghệ An</t>
  </si>
  <si>
    <t>Bưu Cục Nghĩa Đàn-Nghệ An</t>
  </si>
  <si>
    <t>Kho giao nhận Nghĩa Hưng_Nam Định</t>
  </si>
  <si>
    <t>Bưu Cục Nghĩa Hưng-Nam Định</t>
  </si>
  <si>
    <t>Kho giao nhận Tam Điệp_Ninh Bình</t>
  </si>
  <si>
    <t>Bưu Cục Ngô Thì Nhậm-Tam Điệp-Ninh Bình</t>
  </si>
  <si>
    <t>Kho giao nhận Ngọc Hồi_Kon Tum</t>
  </si>
  <si>
    <t>Bưu Cục Ngọc Hồi-Kon Tum</t>
  </si>
  <si>
    <t>Kho giao nhận Vị Thanh_Hậu Giang</t>
  </si>
  <si>
    <t>Kho giao nhận Nho Quan_Ninh Bình</t>
  </si>
  <si>
    <t>Bưu Cục Nho Quan-Ninh Bình</t>
  </si>
  <si>
    <t>Kho giao nhận Như Thanh_Thanh Hóa</t>
  </si>
  <si>
    <t>Bưu Cục Như Thanh-Thanh Hóa</t>
  </si>
  <si>
    <t>Kho giao nhận Ninh Hòa_Khánh Hòa</t>
  </si>
  <si>
    <t>Bưu Cục Ninh Hòa-Khánh Hòa</t>
  </si>
  <si>
    <t>Kho giao nhận Phan Thiết_Bình Thuận</t>
  </si>
  <si>
    <t>Bưu Cục Phan Thiết-Bình Thuận</t>
  </si>
  <si>
    <t>Kho giao nhận Phong Điền_Huế</t>
  </si>
  <si>
    <t>Bưu Cục Phong Điền-Huế</t>
  </si>
  <si>
    <t>Kho giao nhận Phú Bình_Thái Nguyên</t>
  </si>
  <si>
    <t>Bưu Cục Phú Bình-Thái Nguyên</t>
  </si>
  <si>
    <t>Kho giao nhận Phù Cát_Bình Định</t>
  </si>
  <si>
    <t>Bưu Cục Phù Cát-Bình Định</t>
  </si>
  <si>
    <t>Kho giao nhận Phú Hòa_Phú Yên</t>
  </si>
  <si>
    <t>Bưu Cục Phú Hòa-Phú Yên</t>
  </si>
  <si>
    <t>Kho giao nhận Phú Mỹ_Bà Rịa-Vũng Tàu</t>
  </si>
  <si>
    <t>Bưu Cục Phú Mỹ</t>
  </si>
  <si>
    <t>Bưu Cục Phú Mỹ-Bà Rịa Vũng Tàu</t>
  </si>
  <si>
    <t>Kho giao nhận Phù Ninh_Phú Thọ</t>
  </si>
  <si>
    <t>Bưu Cục Phù Ninh-Phú Thọ</t>
  </si>
  <si>
    <t>Kho giao nhận Phú Riềng_Bình Phước</t>
  </si>
  <si>
    <t>Bưu Cục Phú Riềng-Bình Phước</t>
  </si>
  <si>
    <t>Kho giao nhận Phú Xuyên_Hà Nội</t>
  </si>
  <si>
    <t>Bưu Cục Phú Xuyên-HN</t>
  </si>
  <si>
    <t>Kho giao nhận Phù Yên_Sơn La</t>
  </si>
  <si>
    <t>Bưu Cục Phù Yên-Sơn La</t>
  </si>
  <si>
    <t>Kho giao nhận Phúc Thọ_Hà Nội</t>
  </si>
  <si>
    <t>Bưu Cục Phúc Thọ-HN</t>
  </si>
  <si>
    <t>Kho giao nhận Phúc Yên_Vĩnh Phúc</t>
  </si>
  <si>
    <t>Bưu Cục Phúc Yên-Vĩnh Phúc</t>
  </si>
  <si>
    <t>Kho giao nhận Long Thành_Đồng Nai</t>
  </si>
  <si>
    <t>Bưu Cục Phước Hải-Long Thành-Đồng Nai</t>
  </si>
  <si>
    <t>Kho giao nhận Phước Long_Bạc Liêu</t>
  </si>
  <si>
    <t>Bưu Cục Phước Long-Bạc Liêu</t>
  </si>
  <si>
    <t>Kho giao nhận Phước Tân_Đồng Nai</t>
  </si>
  <si>
    <t>Bưu Cục Phước Tân-Biên Hòa-Đồng Nai</t>
  </si>
  <si>
    <t>Kho giao nhận Cái Răng_Cần Thơ</t>
  </si>
  <si>
    <t>Bưu Cục Q.Cái Răng-Cần Thơ</t>
  </si>
  <si>
    <t>Kho giao nhận Thốt Nốt_Cần Thơ</t>
  </si>
  <si>
    <t>Bưu Cục Q.Thốt Nốt-Cần Thơ</t>
  </si>
  <si>
    <t>Kho giao nhận Quan Hóa_Thanh Hóa</t>
  </si>
  <si>
    <t>Bưu Cục Quan Hóa-Thanh Hóa</t>
  </si>
  <si>
    <t>Kho giao nhận Sầm Sơn_Thanh Hóa</t>
  </si>
  <si>
    <t>Bưu Cục Quảng Hưng-TP.Thanh Hóa</t>
  </si>
  <si>
    <t>Kho giao nhận Quảng Uyên_Cao Bằng</t>
  </si>
  <si>
    <t>Bưu Cục Quảng Uyên-Cao Bằng</t>
  </si>
  <si>
    <t>Kho giao nhận Quế Võ_Bắc Ninh</t>
  </si>
  <si>
    <t>Bưu Cục Quế Võ-Bắc Ninh</t>
  </si>
  <si>
    <t>Kho giao nhận Quốc Oai_Hà Nội</t>
  </si>
  <si>
    <t>Bưu Cục Quốc Oai-HN</t>
  </si>
  <si>
    <t>Kho giao nhận Quy Nhơn_Bình Định</t>
  </si>
  <si>
    <t>Bưu Cục Quy Nhơn-Bình Định</t>
  </si>
  <si>
    <t>Kho giao nhận Quỳnh Lưu_Nghệ An</t>
  </si>
  <si>
    <t>Bưu Cục Quỳnh Lưu-Nghệ An</t>
  </si>
  <si>
    <t>Kho giao nhận Sóc Sơn_Hà Nội</t>
  </si>
  <si>
    <t>Bưu Cục Sóc Sơn-HN</t>
  </si>
  <si>
    <t>Kho giao nhận Sơn Dương_Tuyên Quang</t>
  </si>
  <si>
    <t>Bưu Cục Sơn Dương-Tuyên Quang</t>
  </si>
  <si>
    <t>Kho giao nhận Lập Thạch_Vĩnh Phúc</t>
  </si>
  <si>
    <t>Bưu Cục Sông Lô-Vĩnh Phúc</t>
  </si>
  <si>
    <t>Kho giao nhận Tam Đường_Lai Châu</t>
  </si>
  <si>
    <t>Bưu Cục Tam Đường-Lai Châu</t>
  </si>
  <si>
    <t>Kho giao nhận Tân Châu_An Giang</t>
  </si>
  <si>
    <t>Bưu Cục Tân Châu-An Giang</t>
  </si>
  <si>
    <t>Kho giao nhận Tân Định_Bình Dương</t>
  </si>
  <si>
    <t>Bưu Cục Tân Định-Bến Cát-Bình Dương</t>
  </si>
  <si>
    <t>Kho giao nhận Tân Hiệp_Kiên Giang</t>
  </si>
  <si>
    <t>Bưu Cục Tân Hiệp-Kiên Giang</t>
  </si>
  <si>
    <t>Kho giao nhận Tân Hiệp-Tân Uyên_Bình Dương</t>
  </si>
  <si>
    <t>Bưu Cục Tân Hiệp-Tân Uyên-Bình Dương</t>
  </si>
  <si>
    <t>Kho giao nhận Tân Lạc_Hoà Bình</t>
  </si>
  <si>
    <t>Bưu Cục Tân Lạc-Hòa Bình</t>
  </si>
  <si>
    <t>Kho giao nhận Tân Phú_Đồng Nai</t>
  </si>
  <si>
    <t>Bưu Cục Tân Phú-Đồng Nai</t>
  </si>
  <si>
    <t>Kho giao nhận Tân Phước Khánh-Tân Uyên_Bình Dương</t>
  </si>
  <si>
    <t>Bưu Cục Tân Phước Khánh-Tân Uyên-Bình Dương</t>
  </si>
  <si>
    <t>Kho giao nhận Tân Thạnh_Long An</t>
  </si>
  <si>
    <t>Bưu Cục Tân Thạnh-Long An</t>
  </si>
  <si>
    <t>Kho giao nhận Tân Tiến-Chương Mỹ_Hà Nội</t>
  </si>
  <si>
    <t>Bưu Cục Tân Tiến-Chương Mỹ-HN</t>
  </si>
  <si>
    <t>Kho giao nhận Tân Yên_Bắc Giang</t>
  </si>
  <si>
    <t>Bưu Cục Tân Yên-Bắc Giang</t>
  </si>
  <si>
    <t>Kho giao nhận Tây Sơn_Bình Định</t>
  </si>
  <si>
    <t>Bưu Cục Tây Sơn-Bình Định</t>
  </si>
  <si>
    <t>Kho giao nhận Thái Thụy_Thái Bình</t>
  </si>
  <si>
    <t>Bưu Cục Thái Thụy-Thái Bình</t>
  </si>
  <si>
    <t>Kho giao nhận Thăng Bình_Quảng Nam</t>
  </si>
  <si>
    <t>Bưu Cục Thăng Bình-Quảng Nam</t>
  </si>
  <si>
    <t>Kho giao nhận Thanh Liêm_Hà Nam</t>
  </si>
  <si>
    <t>Bưu Cục Thanh Liêm-Hà Nam</t>
  </si>
  <si>
    <t>Kho giao nhận Thanh Oai_Hà Nội</t>
  </si>
  <si>
    <t>Bưu Cục Thanh Oai-HN</t>
  </si>
  <si>
    <t>Kho giao nhận Thanh Sơn_Phú Thọ</t>
  </si>
  <si>
    <t>Bưu Cục Thanh Sơn-Phú Thọ</t>
  </si>
  <si>
    <t>Kho giao nhận Thanh Trì_Hà Nội</t>
  </si>
  <si>
    <t>Bưu Cục Thanh Trì-HN</t>
  </si>
  <si>
    <t>Kho giao nhận Thọ Xuân_Thanh Hóa</t>
  </si>
  <si>
    <t>Bưu Cục Thọ Xuân-Thanh Hóa</t>
  </si>
  <si>
    <t>Kho giao nhận Thới Bình_Cà Mau</t>
  </si>
  <si>
    <t>Bưu Cục Thới Bình-Cà Mau</t>
  </si>
  <si>
    <t>Kho giao nhận Thống Nhất_Đồng Nai</t>
  </si>
  <si>
    <t>Bưu Cục Thống Nhất-Đồng Nai</t>
  </si>
  <si>
    <t>Kho giao nhận Thủ Thừa_Long An</t>
  </si>
  <si>
    <t>Bưu Cục Thủ Thừa-Long An</t>
  </si>
  <si>
    <t>Kho giao nhận Thuận Châu_Sơn La</t>
  </si>
  <si>
    <t>Bưu Cục Thuận Châu-Sơn La</t>
  </si>
  <si>
    <t>Kho giao nhận Thuận Thành_Bắc Ninh</t>
  </si>
  <si>
    <t>Bưu Cục Thuận Thành-Bắc Ninh</t>
  </si>
  <si>
    <t>Kho giao nhận Thường Tín_Hà Nội</t>
  </si>
  <si>
    <t>Kho giao nhận Thủy Nguyên_Hải Phòng</t>
  </si>
  <si>
    <t>Bưu Cục Thủy Nguyên-Hải Phòng</t>
  </si>
  <si>
    <t>Kho giao nhận Tiên Du_Bắc Ninh</t>
  </si>
  <si>
    <t>Bưu Cục Tiên Du-Bắc Ninh</t>
  </si>
  <si>
    <t>Kho giao nhận Tiên Lãng_Hải Phòng</t>
  </si>
  <si>
    <t>Bưu Cục Tiên Lãng-Hải Phòng</t>
  </si>
  <si>
    <t>Kho giao nhận Tiên yên_Quảng Ninh</t>
  </si>
  <si>
    <t>Bưu Cục Tiên Yên-Quảng Ninh</t>
  </si>
  <si>
    <t>Kho giao nhận Tĩnh Gia_Thanh Hóa</t>
  </si>
  <si>
    <t>Bưu Cục Tĩnh Gia-Thanh Hóa</t>
  </si>
  <si>
    <t>Kho giao nhận Bắc Ninh_Bắc Ninh</t>
  </si>
  <si>
    <t>Bưu Cục TP.Bắc Ninh</t>
  </si>
  <si>
    <t>Kho giao nhận Cao Bằng_Cao Bằng</t>
  </si>
  <si>
    <t>Bưu Cục TP.Cao Bằng</t>
  </si>
  <si>
    <t>Kho giao nhận Kon Tum_Kon Tum</t>
  </si>
  <si>
    <t>Bưu Cục Kon Tum</t>
  </si>
  <si>
    <t>Bưu Cục TP.Kon Tum</t>
  </si>
  <si>
    <t>Kho giao nhận Lai Châu_Lai Châu</t>
  </si>
  <si>
    <t>Bưu Cục TP.Lai Châu</t>
  </si>
  <si>
    <t>Kho giao nhận Trần Văn Thời_Cà Mau</t>
  </si>
  <si>
    <t>Bưu Cục Trần Văn Thời-Cà Mau</t>
  </si>
  <si>
    <t>Kho giao nhận Tràng Định_Lạng Sơn</t>
  </si>
  <si>
    <t>Bưu Cục Tràng ĐỊnh-Lạng Sơn</t>
  </si>
  <si>
    <t>Kho giao nhận Gia Lâm_Hà Nội</t>
  </si>
  <si>
    <t>Bưu Cục Trâu Quỳ-Gia Lâm-HN</t>
  </si>
  <si>
    <t>Kho giao nhận Tri Tôn_An Giang</t>
  </si>
  <si>
    <t>Bưu Cục Tri Tôn-An Giang</t>
  </si>
  <si>
    <t>Kho giao nhận Triệu Sơn_Thanh Hóa</t>
  </si>
  <si>
    <t>Bưu Cục Triệu Sơn-Thanh Hóa</t>
  </si>
  <si>
    <t>Kho giao nhận Trực Ninh_Nam Định</t>
  </si>
  <si>
    <t>Bưu Cục Trực Ninh-Nam Định</t>
  </si>
  <si>
    <t>Kho giao nhận Tứ Kỳ_Hải Dương</t>
  </si>
  <si>
    <t>Bưu Cục Tứ Kỳ-Hải Dương</t>
  </si>
  <si>
    <t>Kho giao nhận Từ Sơn_Bắc Ninh</t>
  </si>
  <si>
    <t>Bưu Cục Từ Sơn-Bắc Ninh</t>
  </si>
  <si>
    <t>Kho giao nhận Tuần Giáo_Điện Biên</t>
  </si>
  <si>
    <t>Bưu Cục Tuần Giáo-Điện Biên</t>
  </si>
  <si>
    <t>Kho giao nhận Tuy Phước_Bình Định</t>
  </si>
  <si>
    <t>Bưu Cục Tuy Phước-Bình Định</t>
  </si>
  <si>
    <t>Kho giao nhận Ứng Hòa_Hà Nội</t>
  </si>
  <si>
    <t>Bưu Cục Ứng Hòa-HN</t>
  </si>
  <si>
    <t>Kho giao nhận Tân Uyên_Bình Dương</t>
  </si>
  <si>
    <t>Bưu Cục Uyên Hưng-Tân Uyên-Bình Dương</t>
  </si>
  <si>
    <t>Kho giao nhận Nghĩa Lộ_Yên Bái</t>
  </si>
  <si>
    <t>Kho giao nhận Văn Giang_Hưng Yên</t>
  </si>
  <si>
    <t>Bưu Cục Văn Giang-Hưng Yên</t>
  </si>
  <si>
    <t>Kho giao nhận Văn Lâm_Hưng Yên</t>
  </si>
  <si>
    <t>Bưu Cục Văn Lâm-Hưng Yên</t>
  </si>
  <si>
    <t>Kho Giao Nhận Văn Lãng_Lạng Sơn</t>
  </si>
  <si>
    <t>Bưu Cục Văn Lãng-Lạng Sơn</t>
  </si>
  <si>
    <t>Kho giao nhận Vạn Ninh_Khánh Hòa</t>
  </si>
  <si>
    <t>Bưu Cục Vạn Ninh-Khánh Hòa</t>
  </si>
  <si>
    <t>Kho giao nhận Bắc Quang_Hà Giang</t>
  </si>
  <si>
    <t>Bưu Cục Việt Quang-Hà Giang 01</t>
  </si>
  <si>
    <t>Kho giao nhận Quang Bình_Hà Giang</t>
  </si>
  <si>
    <t>Bưu Cục Việt Quang-Hà Giang 02</t>
  </si>
  <si>
    <t>Kho giao nhận Việt Yên_Bắc Giang</t>
  </si>
  <si>
    <t>Bưu Cục Việt Yên-Bắc Giang</t>
  </si>
  <si>
    <t>Kho giao nhận Vĩnh Lộc_Thanh Hóa</t>
  </si>
  <si>
    <t>Bưu Cục Vĩnh Lộc-Thanh Hóa</t>
  </si>
  <si>
    <t>Kho giao nhận Vụ Bản_Nam Định</t>
  </si>
  <si>
    <t>Bưu Cục Vụ Bản-Nam Định</t>
  </si>
  <si>
    <t>Kho giao nhận Xuyên Mộc_Bà Rịa-Vũng Tàu</t>
  </si>
  <si>
    <t>Bưu Cục Xuyên Mộc-Bà Rịa Vũng Tàu</t>
  </si>
  <si>
    <t>Kho giao nhận Yên Định_Thanh Hóa</t>
  </si>
  <si>
    <t>Bưu Cục Yên Định-Thanh Hóa</t>
  </si>
  <si>
    <t>Kho giao nhận Yên Dũng_Bắc Giang</t>
  </si>
  <si>
    <t>Bưu Cục Yên Dũng-Bắc Giang</t>
  </si>
  <si>
    <t>Kho giao nhận Yên Khánh_Ninh Bình</t>
  </si>
  <si>
    <t>Bưu Cục Yên Khánh-Ninh Bình</t>
  </si>
  <si>
    <t>Kho giao nhận Yên Mỹ_Hưng Yên</t>
  </si>
  <si>
    <t>Bưu Cục Yên Mỹ-Hưng Yên</t>
  </si>
  <si>
    <t>Kho giao nhận Yên Phong_Bắc Ninh</t>
  </si>
  <si>
    <t>Bưu Cục Yên Phong-Bắc Ninh</t>
  </si>
  <si>
    <t>Kho giao nhận Yên Thành_Nghệ An</t>
  </si>
  <si>
    <t>Bưu Cục Yên Thành-Nghệ An</t>
  </si>
  <si>
    <t>Kho giao nhận Yên Thế_Bắc Giang</t>
  </si>
  <si>
    <t>Bưu Cục Yên Thế-Bắc Giang</t>
  </si>
  <si>
    <t>Kho lấy hàng Key Account_Hà Nội</t>
  </si>
  <si>
    <t>Thị Xã Bến Cát - Bình Dương</t>
  </si>
  <si>
    <t>Thành phố đồng hới - Quảng Bình</t>
  </si>
  <si>
    <t>thành phố Thái Bình - Thái Bình</t>
  </si>
  <si>
    <t>Thành Phố Nha Trang - Khánh Hòa</t>
  </si>
  <si>
    <t>Thành Phố Thủ Dầu Một - Bình Dương</t>
  </si>
  <si>
    <t>Thành Phố Bắc Giang - Bắc Giang</t>
  </si>
  <si>
    <t>thành phố Phủ Lý - Hà Nam</t>
  </si>
  <si>
    <t>Thành Phố Lào Cai - Lào Cai</t>
  </si>
  <si>
    <t>Huyện thanh oai - Hà Nội</t>
  </si>
  <si>
    <t>Thành Phố Hưng Yên - Hưng Yên</t>
  </si>
  <si>
    <t>Thành Phố Uông Bí - Quảng Ninh</t>
  </si>
  <si>
    <t>huyện Tiền Hải - Thái Bình</t>
  </si>
  <si>
    <t>Thị Xã Quảng Yên - Quảng Ninh</t>
  </si>
  <si>
    <t>Thành Phố Biên Hòa - Đồng Nai</t>
  </si>
  <si>
    <t>Thành Phố Lạng Sơn - Lạng Sơn</t>
  </si>
  <si>
    <t>Thành Phố Long Xuyên - An Giang</t>
  </si>
  <si>
    <t>Thành Phố Hạ Long - Quảng Ninh</t>
  </si>
  <si>
    <t>Quận Tây hồ - Hà Nội</t>
  </si>
  <si>
    <t>Huyện Sa pa - Lào Cai</t>
  </si>
  <si>
    <t>Thành Phố Phan Thiết - Bình Thuận</t>
  </si>
  <si>
    <t>Thị xã La gi - Bình Thuận</t>
  </si>
  <si>
    <t>Thành Phố Móng Cái - Quảng Ninh</t>
  </si>
  <si>
    <t>Thành Phố Pleiku - Gia Lai</t>
  </si>
  <si>
    <t>Thành Phố Quảng Ngãi - Quảng Ngãi</t>
  </si>
  <si>
    <t>Thành Phố Việt Trì - Phú Thọ</t>
  </si>
  <si>
    <t>Thành Phố Rạch Giá - Kiên Giang</t>
  </si>
  <si>
    <t>Thành Phố Hà Tĩnh - Hà Tĩnh</t>
  </si>
  <si>
    <t>Thành Phố Cam Ranh - Khánh Hòa</t>
  </si>
  <si>
    <t>Thành Phố Trà Vinh - Trà Vinh</t>
  </si>
  <si>
    <t>Thành phố Nam ĐỊnh - Nam Định</t>
  </si>
  <si>
    <t>Thị Xã Thuận An - Bình Dương</t>
  </si>
  <si>
    <t>thị xã ba đồn - Quảng Bình</t>
  </si>
  <si>
    <t>thành phố Hải Dương - Hải Dương</t>
  </si>
  <si>
    <t>huyện bố trạch - Quảng Bình</t>
  </si>
  <si>
    <t>Thành Phố Cẩm Phả - Quảng Ninh</t>
  </si>
  <si>
    <t>Thành Phố Thanh Hóa - Thanh Hóa</t>
  </si>
  <si>
    <t>Huyện Đảo Lý Sơn - Quảng Ngãi</t>
  </si>
  <si>
    <t>huyện Đông Hưng - Thái Bình</t>
  </si>
  <si>
    <t>huyện Duy Tiên - Hà Nam</t>
  </si>
  <si>
    <t>Thị Xã Phú Thọ - Phú Thọ</t>
  </si>
  <si>
    <t>Thành Phố Kon Tum - Kon Tum</t>
  </si>
  <si>
    <t>huyện lệ thủy - Quảng Bình</t>
  </si>
  <si>
    <t>huyện minh hóa - Quảng Bình</t>
  </si>
  <si>
    <t>Thành Phố Lai Châu - Lai Châu</t>
  </si>
  <si>
    <t>Thành Phố Vị Thanh - Hậu Giang</t>
  </si>
  <si>
    <t>Thành Phố Quy Nhơn - Bình Định</t>
  </si>
  <si>
    <t>huyện Thái Thụy - Thái Bình</t>
  </si>
  <si>
    <t>Huyện Tràng ĐỊnh - Lạng Sơn</t>
  </si>
  <si>
    <t>Kho Lấy Cũ</t>
  </si>
  <si>
    <t>Tên KL cũ</t>
  </si>
  <si>
    <t>Tên KL hiện tại</t>
  </si>
  <si>
    <t>Tên KL mới</t>
  </si>
  <si>
    <t>Bưu Cục 01 Châu Văn Liêm-Ngã Bảy-Hậu Giang</t>
  </si>
  <si>
    <t>Bảng Giá Dịch Vụ Chuyển Phát</t>
  </si>
  <si>
    <t>Thành phố Tuyên Quang</t>
  </si>
  <si>
    <t>Miền Tây</t>
  </si>
  <si>
    <t>Miền Tây or NOT</t>
  </si>
  <si>
    <t>NOT</t>
  </si>
  <si>
    <t>Month</t>
  </si>
  <si>
    <t>Week</t>
  </si>
  <si>
    <t>Transferred Date</t>
  </si>
  <si>
    <t>Complete Date</t>
  </si>
  <si>
    <t>Return Date</t>
  </si>
  <si>
    <t>Status</t>
  </si>
  <si>
    <t>From Address</t>
  </si>
  <si>
    <t>From Area</t>
  </si>
  <si>
    <t>To Address</t>
  </si>
  <si>
    <t>To Area</t>
  </si>
  <si>
    <t>Route Tier</t>
  </si>
  <si>
    <t>Weight (kg)</t>
  </si>
  <si>
    <t>Length (cm)</t>
  </si>
  <si>
    <t>Height (cm)</t>
  </si>
  <si>
    <t>Width (cm)</t>
  </si>
  <si>
    <t>Conversion Weight</t>
  </si>
  <si>
    <t>Charge Weight</t>
  </si>
  <si>
    <t>Apply Fee</t>
  </si>
  <si>
    <t>Transport Fee</t>
  </si>
  <si>
    <t>Return Fee</t>
  </si>
  <si>
    <t>Total Fee</t>
  </si>
  <si>
    <t>Discount</t>
  </si>
  <si>
    <t>Total Fee After Discount</t>
  </si>
  <si>
    <t>VAT</t>
  </si>
  <si>
    <t>Total Fee With VAT</t>
  </si>
  <si>
    <t>Thị xã Bỉm Sơn - Thanh Hóa</t>
  </si>
  <si>
    <t>Huyện Hiệp Hòa - Bắc Giang</t>
  </si>
  <si>
    <t>Bưu Cục 361 Ba Mươi Tháng Tư-TP.Vũng Tàu</t>
  </si>
  <si>
    <t>Quận Đặc Biệt DC</t>
  </si>
  <si>
    <t>Quận Cẩm Lệ</t>
  </si>
  <si>
    <t>Quận Hải Châu</t>
  </si>
  <si>
    <t>Quận Liên Chiểu</t>
  </si>
  <si>
    <t>Quận Ngũ Hành Sơn</t>
  </si>
  <si>
    <t>Quận Sơn Trà</t>
  </si>
  <si>
    <t>Quận Thanh Khê</t>
  </si>
  <si>
    <t>Huyện Hòa Vang</t>
  </si>
  <si>
    <t>Quận Ba Đình</t>
  </si>
  <si>
    <t>Quận Cầu Giấy</t>
  </si>
  <si>
    <t>Quận Đống Đa</t>
  </si>
  <si>
    <t>Quận Hà Đông</t>
  </si>
  <si>
    <t>Quận Hai Bà Trưng</t>
  </si>
  <si>
    <t>Quận Hoàn Kiếm</t>
  </si>
  <si>
    <t>Quận Hoàng Mai</t>
  </si>
  <si>
    <t>Quận Long Biên</t>
  </si>
  <si>
    <t>Quận Tây Hồ</t>
  </si>
  <si>
    <t>Quận Thanh Xuân</t>
  </si>
  <si>
    <t>Quận Từ Liêm</t>
  </si>
  <si>
    <t>Quận Bắc Từ Liêm</t>
  </si>
  <si>
    <t>Quận Nam Từ Liêm</t>
  </si>
  <si>
    <t>Huyện Gia Lâm</t>
  </si>
  <si>
    <t>Huyện Ba Vì</t>
  </si>
  <si>
    <t>Huyện Đan Phượng</t>
  </si>
  <si>
    <t>Huyện Đông Anh</t>
  </si>
  <si>
    <t>Huyện Hoài Đức</t>
  </si>
  <si>
    <t>Huyện Mê Linh</t>
  </si>
  <si>
    <t>Huyện Mỹ Đức</t>
  </si>
  <si>
    <t>Huyện Phúc Thọ</t>
  </si>
  <si>
    <t>Huyện Sóc Sơn</t>
  </si>
  <si>
    <t>Huyện Thạch Thất</t>
  </si>
  <si>
    <t>Huyện Thanh Oai</t>
  </si>
  <si>
    <t>Huyện Thanh Trì</t>
  </si>
  <si>
    <t>Huyện Ứng Hòa</t>
  </si>
  <si>
    <t>Thị xã Sơn Tây</t>
  </si>
  <si>
    <t>Huyện Chương Mỹ</t>
  </si>
  <si>
    <t>Huyện Quốc Oai</t>
  </si>
  <si>
    <t xml:space="preserve">Huyện Quốc Oai </t>
  </si>
  <si>
    <t>Huyện Thường Tín</t>
  </si>
  <si>
    <t>Huyện Phú Xuyên</t>
  </si>
  <si>
    <t>Quận 1</t>
  </si>
  <si>
    <t>Quận 10</t>
  </si>
  <si>
    <t>Quận 11</t>
  </si>
  <si>
    <t>Quận 2</t>
  </si>
  <si>
    <t>Quận 3</t>
  </si>
  <si>
    <t>Quận 4</t>
  </si>
  <si>
    <t>Quận 5</t>
  </si>
  <si>
    <t>Quận 6</t>
  </si>
  <si>
    <t>Quận 7</t>
  </si>
  <si>
    <t>Quận 8</t>
  </si>
  <si>
    <t>Quận Bình Thạnh</t>
  </si>
  <si>
    <t>Quận Gò Vấp</t>
  </si>
  <si>
    <t>Quận Phú Nhuận</t>
  </si>
  <si>
    <t>Quận Tân Bình</t>
  </si>
  <si>
    <t>Quận Tân Phú</t>
  </si>
  <si>
    <t>Quận 12</t>
  </si>
  <si>
    <t>Quận 9</t>
  </si>
  <si>
    <t>Quận Bình Tân</t>
  </si>
  <si>
    <t>Quận Thủ Đức</t>
  </si>
  <si>
    <t>Huyện Bình Chánh</t>
  </si>
  <si>
    <t>Huyện Củ Chi</t>
  </si>
  <si>
    <t>Huyện Hóc Môn</t>
  </si>
  <si>
    <t>Huyện Nhà Bè</t>
  </si>
  <si>
    <t>Huyện Bình Chánh 2</t>
  </si>
  <si>
    <t>Huyện Cần Giờ</t>
  </si>
  <si>
    <t>Thành phố Biên Hòa</t>
  </si>
  <si>
    <t>Huyện Cẩm Mỹ</t>
  </si>
  <si>
    <t>Huyện Định Quán</t>
  </si>
  <si>
    <t>Huyện Long Thành</t>
  </si>
  <si>
    <t>Huyện Nhơn Trạch</t>
  </si>
  <si>
    <t>Huyện Tân Phú</t>
  </si>
  <si>
    <t>Huyện Thống Nhất</t>
  </si>
  <si>
    <t>Huyện Trảng Bom</t>
  </si>
  <si>
    <t>Huyện Xuân Lộc</t>
  </si>
  <si>
    <t>Thị xã Long Khánh</t>
  </si>
  <si>
    <t>Huyện Vĩnh Cửu</t>
  </si>
  <si>
    <t>Thành phố Bà Rịa</t>
  </si>
  <si>
    <t>Thành phố Vũng Tàu</t>
  </si>
  <si>
    <t>Huyện Châu Đức</t>
  </si>
  <si>
    <t>Huyện Đất Đỏ</t>
  </si>
  <si>
    <t>Huyện Long Điền</t>
  </si>
  <si>
    <t>Huyện Tân Thành</t>
  </si>
  <si>
    <t>Huyện Xuyên Mộc</t>
  </si>
  <si>
    <t>TT Phú Mỹ</t>
  </si>
  <si>
    <t>Thị Xã Phú Mỹ</t>
  </si>
  <si>
    <t>Huyện đảo Côn Đảo</t>
  </si>
  <si>
    <t>Thành phố Thủ Dầu Một</t>
  </si>
  <si>
    <t>Thị xã Dĩ An</t>
  </si>
  <si>
    <t>Thị xã Tân Uyên</t>
  </si>
  <si>
    <t>Thị xã Thuận An</t>
  </si>
  <si>
    <t>Huyện Dầu Tiếng</t>
  </si>
  <si>
    <t>Thị xã Bến Cát</t>
  </si>
  <si>
    <t>Huyện Phú Giáo</t>
  </si>
  <si>
    <t>Huyện Bàu Bàng</t>
  </si>
  <si>
    <t>Huyện Bắc Tân Uyên</t>
  </si>
  <si>
    <t>Quận Bình Thủy</t>
  </si>
  <si>
    <t>Quận Cái Răng</t>
  </si>
  <si>
    <t>Quận Ninh Kiều</t>
  </si>
  <si>
    <t>Thành phố Bạc Liêu</t>
  </si>
  <si>
    <t>Thành phố Bến Tre</t>
  </si>
  <si>
    <t>Thành phố Cà Mau</t>
  </si>
  <si>
    <t>Thành phố Cam Ranh</t>
  </si>
  <si>
    <t>Thành phố Cao Lãnh</t>
  </si>
  <si>
    <t>Thành phố Đà Lạt</t>
  </si>
  <si>
    <t>Thành phố Kon Tum</t>
  </si>
  <si>
    <t>Thành phố Long Xuyên</t>
  </si>
  <si>
    <t>Thành phố Mỹ Tho</t>
  </si>
  <si>
    <t>Thành phố Nha Trang</t>
  </si>
  <si>
    <t>Thành phố Phan Rang - Tháp Chàm</t>
  </si>
  <si>
    <t>Thành phố Phan Thiết</t>
  </si>
  <si>
    <t>Thành phố Pleiku</t>
  </si>
  <si>
    <t>Thành phố Quy Nhơn</t>
  </si>
  <si>
    <t>Thành phố Rạch Giá</t>
  </si>
  <si>
    <t>Thành phố Sa Đéc</t>
  </si>
  <si>
    <t>Thành phố Sóc Trăng</t>
  </si>
  <si>
    <t>Thành phố Tân An</t>
  </si>
  <si>
    <t>Thành phố Tây Ninh</t>
  </si>
  <si>
    <t>Thành phố Trà Vinh</t>
  </si>
  <si>
    <t>Thành phố Tuy Hòa</t>
  </si>
  <si>
    <t>Thành phố Vị Thanh</t>
  </si>
  <si>
    <t>Thành phố Vĩnh Long</t>
  </si>
  <si>
    <t>Thị xã Đồng Xoài</t>
  </si>
  <si>
    <t>Thị xã Gia Nghĩa</t>
  </si>
  <si>
    <t>Thành phố Buôn Ma Thuột</t>
  </si>
  <si>
    <t>Huyện Cao Lãnh</t>
  </si>
  <si>
    <t>Huyện Châu Thành</t>
  </si>
  <si>
    <t>Huyện Chợ Gạo</t>
  </si>
  <si>
    <t>Huyện Chư Păh</t>
  </si>
  <si>
    <t>Huyện Diên Khánh</t>
  </si>
  <si>
    <t>Huyện Đồng Phú</t>
  </si>
  <si>
    <t>Huyện Dương Minh Châu</t>
  </si>
  <si>
    <t>Huyện Hàm Thuận Bắc</t>
  </si>
  <si>
    <t>Huyện Hòa Bình</t>
  </si>
  <si>
    <t>Huyện Hòa Thành</t>
  </si>
  <si>
    <t>Huyện Lai Vung</t>
  </si>
  <si>
    <t>Huyện Mỹ Xuyên</t>
  </si>
  <si>
    <t>Quận Ô Môn</t>
  </si>
  <si>
    <t>Quận Thốt Nốt</t>
  </si>
  <si>
    <t>Huyện Cư M'gar</t>
  </si>
  <si>
    <t>Huyện Ia Grai</t>
  </si>
  <si>
    <t>Huyện Cư M gar</t>
  </si>
  <si>
    <t>Huyện Bến Lức</t>
  </si>
  <si>
    <t>Huyện Giồng Trôm</t>
  </si>
  <si>
    <t>Huyện Trần Đề</t>
  </si>
  <si>
    <t>Huyện Thủ Thừa</t>
  </si>
  <si>
    <t>Huyện Mỏ Cày Bắc</t>
  </si>
  <si>
    <t>Huyện Gò Công Tây</t>
  </si>
  <si>
    <t>Huyện Phú Hòa</t>
  </si>
  <si>
    <t>Huyện Tuy Phước</t>
  </si>
  <si>
    <t>Huyện Long Hồ</t>
  </si>
  <si>
    <t>Huyện Mỏ Cày Nam</t>
  </si>
  <si>
    <t>Huyện Lạc Dương</t>
  </si>
  <si>
    <t>Huyện Tân Trụ</t>
  </si>
  <si>
    <t>Huyện Vĩnh Lợi</t>
  </si>
  <si>
    <t>Huyện Ninh Phước</t>
  </si>
  <si>
    <t>Huyện Ninh Hải</t>
  </si>
  <si>
    <t>Huyện Vị Thuỷ</t>
  </si>
  <si>
    <t>Huyện Long Mỹ</t>
  </si>
  <si>
    <t>Thị xã Long Mỹ</t>
  </si>
  <si>
    <t>Huyện Phong Điền</t>
  </si>
  <si>
    <t>Huyện Khánh Vĩnh</t>
  </si>
  <si>
    <t>Huyện Thuận Nam</t>
  </si>
  <si>
    <t>Huyện Tân Phước</t>
  </si>
  <si>
    <t>Huyện Cư Kuin</t>
  </si>
  <si>
    <t>Huyện Thuận Bắc</t>
  </si>
  <si>
    <t>Huyện Bình Tân</t>
  </si>
  <si>
    <t>Huyện Đắk Đoa</t>
  </si>
  <si>
    <t>Huyện Mang Thít</t>
  </si>
  <si>
    <t>Huyện Sa Thầy</t>
  </si>
  <si>
    <t>Huyện Phú Tân</t>
  </si>
  <si>
    <t>Huyện An Biên</t>
  </si>
  <si>
    <t>Huyện An Phú</t>
  </si>
  <si>
    <t>Huyện Bắc Bình</t>
  </si>
  <si>
    <t>Huyện Bảo Lâm</t>
  </si>
  <si>
    <t>Huyện Bến Cầu</t>
  </si>
  <si>
    <t>Huyện Châu Phú</t>
  </si>
  <si>
    <t>Huyện Chợ Mới</t>
  </si>
  <si>
    <t>Huyện Chơn Thành</t>
  </si>
  <si>
    <t>Huyện Đồng Phù</t>
  </si>
  <si>
    <t>Huyện Chư Prông</t>
  </si>
  <si>
    <t>Huyện Chư Sê</t>
  </si>
  <si>
    <t>Huyện Đắk Glong</t>
  </si>
  <si>
    <t>Huyện Đak Hà</t>
  </si>
  <si>
    <t>Huyện Ngọc Hồi</t>
  </si>
  <si>
    <t>Huyện Đắk Hà</t>
  </si>
  <si>
    <t>Huyện Đắk Mil</t>
  </si>
  <si>
    <t>Huyện Đắk R lấp</t>
  </si>
  <si>
    <t>Huyện Đơn Dương</t>
  </si>
  <si>
    <t>Huyện Đức Cơ</t>
  </si>
  <si>
    <t>Huyện Đức Trọng</t>
  </si>
  <si>
    <t>Huyện Ea H'leo</t>
  </si>
  <si>
    <t>Huyện Gò Dầu</t>
  </si>
  <si>
    <t>Huyện Hàm Thuận Nam</t>
  </si>
  <si>
    <t>Huyện Hoài Nhơn</t>
  </si>
  <si>
    <t>Huyện Hòn Đất</t>
  </si>
  <si>
    <t>Huyện Hớn Quản</t>
  </si>
  <si>
    <t>Huyện Krông Ana</t>
  </si>
  <si>
    <t>Huyện Krông Bông</t>
  </si>
  <si>
    <t>Huyện Krông Năng</t>
  </si>
  <si>
    <t>Huyện Ninh Sơn</t>
  </si>
  <si>
    <t>Huyện Phù Cát</t>
  </si>
  <si>
    <t>Huyện Phú Thiện</t>
  </si>
  <si>
    <t>Huyện Phụng Hiệp</t>
  </si>
  <si>
    <t>Huyện Tân Biên</t>
  </si>
  <si>
    <t>Huyện Tân Châu</t>
  </si>
  <si>
    <t>Huyện Tân Hiệp</t>
  </si>
  <si>
    <t>Huyện Thoại Sơn</t>
  </si>
  <si>
    <t>Huyện Tri Tôn</t>
  </si>
  <si>
    <t>Huyện Tuy Phong</t>
  </si>
  <si>
    <t>Huyện Vạn Ninh</t>
  </si>
  <si>
    <t>Thành Phố Bảo Lộc</t>
  </si>
  <si>
    <t>Thành phố Châu Đốc</t>
  </si>
  <si>
    <t>Thị Xã An Khê</t>
  </si>
  <si>
    <t>Thị Xã Ayun Pa</t>
  </si>
  <si>
    <t>Thị Xã Bình Long</t>
  </si>
  <si>
    <t>Huyện Ea Súp</t>
  </si>
  <si>
    <t>Thị Xã La Gi</t>
  </si>
  <si>
    <t>Thị Xã Phước Long</t>
  </si>
  <si>
    <t>Thị Xã Sông Cầu</t>
  </si>
  <si>
    <t>Thị xã An Nhơn</t>
  </si>
  <si>
    <t>Huyện Giồng Riềng</t>
  </si>
  <si>
    <t>Huyện Năm Căn</t>
  </si>
  <si>
    <t>Thị xã Buôn Hồ</t>
  </si>
  <si>
    <t>Huyện Đức Linh</t>
  </si>
  <si>
    <t>Huyện Buôn Ðôn</t>
  </si>
  <si>
    <t>Huyện Ia Pa</t>
  </si>
  <si>
    <t>Huyện Tịnh Biên</t>
  </si>
  <si>
    <t>Huyện Thới Bình</t>
  </si>
  <si>
    <t>Huyện Kon Plông</t>
  </si>
  <si>
    <t>Huyện Phước Long</t>
  </si>
  <si>
    <t>Huyện Trảng Bàng</t>
  </si>
  <si>
    <t>Huyện Cần Đước</t>
  </si>
  <si>
    <t>Huyện Cần Giuộc</t>
  </si>
  <si>
    <t>Huyện Tháp Mười</t>
  </si>
  <si>
    <t>Huyện Ea Kar</t>
  </si>
  <si>
    <t>Huyện Giá Rai</t>
  </si>
  <si>
    <t>Thị xã Ngã Năm</t>
  </si>
  <si>
    <t>Huyện Krông Pắc</t>
  </si>
  <si>
    <t>Huyện Lấp Vò</t>
  </si>
  <si>
    <t>Huyện U Minh</t>
  </si>
  <si>
    <t>Thị xã Hồng Ngự</t>
  </si>
  <si>
    <t>Huyện Trà Ôn</t>
  </si>
  <si>
    <t>Huyện Kiên Lương</t>
  </si>
  <si>
    <t>Huyện Ba Tri</t>
  </si>
  <si>
    <t>Huyện An Lão</t>
  </si>
  <si>
    <t>Huyện Cam Lâm</t>
  </si>
  <si>
    <t>Huyện Kế Sách</t>
  </si>
  <si>
    <t>Huyện Ea H leo</t>
  </si>
  <si>
    <t>Huyện Bù Đăng</t>
  </si>
  <si>
    <t>Huyện Thạnh Phú</t>
  </si>
  <si>
    <t>Huyện Lâm Hà</t>
  </si>
  <si>
    <t>Thị xã Hà Tiên</t>
  </si>
  <si>
    <t>Huyện Sơn Hòa</t>
  </si>
  <si>
    <t>Huyện Cái Bè</t>
  </si>
  <si>
    <t>Huyện Đam Rông</t>
  </si>
  <si>
    <t>Thị xã Ninh Hòa</t>
  </si>
  <si>
    <t>Thị xã Bình Minh</t>
  </si>
  <si>
    <t>Huyện Đức Hòa</t>
  </si>
  <si>
    <t>Huyện Lộc Ninh</t>
  </si>
  <si>
    <t>Huyện Trà Cú</t>
  </si>
  <si>
    <t>Huyện Cái Nước</t>
  </si>
  <si>
    <t>Huyện Bình Đại</t>
  </si>
  <si>
    <t>Huyện Trần Văn Thời</t>
  </si>
  <si>
    <t>Huyện Thanh Bình</t>
  </si>
  <si>
    <t>Huyện Châu Thành A</t>
  </si>
  <si>
    <t>Thị xã Cai Lậy</t>
  </si>
  <si>
    <t>Huyện M Đrắk</t>
  </si>
  <si>
    <t>Huyện Tánh Linh</t>
  </si>
  <si>
    <t>Huyện Tân Hồng</t>
  </si>
  <si>
    <t>Thị xã Gò Công</t>
  </si>
  <si>
    <t>Huyện Hồng Dân</t>
  </si>
  <si>
    <t>Huyện Đông Hải</t>
  </si>
  <si>
    <t>Huyện Tam Bình</t>
  </si>
  <si>
    <t>Huyện Cầu Ngang</t>
  </si>
  <si>
    <t>Huyện Tiểu Cần</t>
  </si>
  <si>
    <t>Huyện Gò Công Đông</t>
  </si>
  <si>
    <t>Huyện Đắk Glei</t>
  </si>
  <si>
    <t>Huyện Ngọc Hiển</t>
  </si>
  <si>
    <t>Huyện Đầm Dơi</t>
  </si>
  <si>
    <t>Huyện Kbang</t>
  </si>
  <si>
    <t>Huyện Chư Pưh</t>
  </si>
  <si>
    <t>Huyện Tam Nông</t>
  </si>
  <si>
    <t>Huyện Bù Gia Mập</t>
  </si>
  <si>
    <t>Huyện Thới Lai</t>
  </si>
  <si>
    <t>Huyện Cờ Đỏ</t>
  </si>
  <si>
    <t>Huyện Vĩnh Thạnh</t>
  </si>
  <si>
    <t>Huyện Bác Ái</t>
  </si>
  <si>
    <t>Huyện An Minh</t>
  </si>
  <si>
    <t>Huyện Lắk</t>
  </si>
  <si>
    <t>Huyện Đông Hòa</t>
  </si>
  <si>
    <t>Huyện Bù Đốp</t>
  </si>
  <si>
    <t>Huyện Vĩnh Hưng</t>
  </si>
  <si>
    <t>Huyện Hàm Tân</t>
  </si>
  <si>
    <t>Huyện Di Linh</t>
  </si>
  <si>
    <t>Thị xã Kiến Tường</t>
  </si>
  <si>
    <t>Huyện Mộc Hóa</t>
  </si>
  <si>
    <t>Huyện Cát Tiên</t>
  </si>
  <si>
    <t>Huyện Hồng Ngự</t>
  </si>
  <si>
    <t>Huyện Thạnh Hóa</t>
  </si>
  <si>
    <t>Huyện Chợ Lách</t>
  </si>
  <si>
    <t>Huyện Cư Jút</t>
  </si>
  <si>
    <t>Huyện Tây Hòa</t>
  </si>
  <si>
    <t>Huyện Phù Mỹ</t>
  </si>
  <si>
    <t>Huyện Đồng Xuân</t>
  </si>
  <si>
    <t>Huyện Tuy An</t>
  </si>
  <si>
    <t>Huyện Khánh Sơn</t>
  </si>
  <si>
    <t>Huyện Tân Hưng</t>
  </si>
  <si>
    <t>Huyện Tân Thạnh</t>
  </si>
  <si>
    <t>Huyện Tây Sơn</t>
  </si>
  <si>
    <t>Huyện Vân Canh</t>
  </si>
  <si>
    <t>Huyện Tuy Đức</t>
  </si>
  <si>
    <t>Huyện đảo Phú Quốc</t>
  </si>
  <si>
    <t>Thị xã Vĩnh Châu</t>
  </si>
  <si>
    <t>Huyện U Minh Thượng</t>
  </si>
  <si>
    <t>Huyện Krông Nô</t>
  </si>
  <si>
    <t>Huyện Mang Yang</t>
  </si>
  <si>
    <t>Huyện Thạnh Trị</t>
  </si>
  <si>
    <t>Huyện Phú Riềng</t>
  </si>
  <si>
    <t>Huyện Mỹ Tú</t>
  </si>
  <si>
    <t>Huyện Đạ Tẻh</t>
  </si>
  <si>
    <t>Huyện Giang Thành</t>
  </si>
  <si>
    <t>Huyện Krông Búk</t>
  </si>
  <si>
    <t>Huyện Cầu Kè</t>
  </si>
  <si>
    <t>Huyện Long Phú</t>
  </si>
  <si>
    <t>Huyện Đạ Huoai</t>
  </si>
  <si>
    <t>Huyện đảo Phú Quý</t>
  </si>
  <si>
    <t>Huyện Hoài Ân</t>
  </si>
  <si>
    <t>Huyện Kon Rẫy</t>
  </si>
  <si>
    <t>Huyện Sông Hinh</t>
  </si>
  <si>
    <t>Huyện Tân Phú Đông</t>
  </si>
  <si>
    <t>Huyện Càng Long</t>
  </si>
  <si>
    <t>Huyện Kông Chro</t>
  </si>
  <si>
    <t>Huyện Đắk Song</t>
  </si>
  <si>
    <t>Huyện Vĩnh Thuận</t>
  </si>
  <si>
    <t>Huyện Krông Pa</t>
  </si>
  <si>
    <t>Thị xã Duyên Hải</t>
  </si>
  <si>
    <t>Huyện Duyên Hải</t>
  </si>
  <si>
    <t>Huyện Gò Quao</t>
  </si>
  <si>
    <t>Huyện Ia H Drai</t>
  </si>
  <si>
    <t>Huyện Đắk Tô</t>
  </si>
  <si>
    <t>Huyện Vũng Liêm</t>
  </si>
  <si>
    <t>Huyện Cai Lậy</t>
  </si>
  <si>
    <t>Huyện Cù Lao Dung</t>
  </si>
  <si>
    <t>Huyện Đức Huệ</t>
  </si>
  <si>
    <t>Huyện Đắk Pơ</t>
  </si>
  <si>
    <t>Thành phố Đông Hà</t>
  </si>
  <si>
    <t>Thành phố Đồng Hới</t>
  </si>
  <si>
    <t>Thành phố Hội An</t>
  </si>
  <si>
    <t>Thành phố Huế</t>
  </si>
  <si>
    <t>Thành phố Quảng Ngãi</t>
  </si>
  <si>
    <t>Thành phố Tam Kỳ</t>
  </si>
  <si>
    <t>Thị xã Quảng Trị</t>
  </si>
  <si>
    <t>Huyện Bố Trạch</t>
  </si>
  <si>
    <t>Huyện Điện Bàn</t>
  </si>
  <si>
    <t>Huyện Duy Xuyên</t>
  </si>
  <si>
    <t>Huyện Sơn Tịnh</t>
  </si>
  <si>
    <t>Huyện đảo Lý Sơn</t>
  </si>
  <si>
    <t>Huyện Tư Nghĩa</t>
  </si>
  <si>
    <t>Thị xã Hương Thủy</t>
  </si>
  <si>
    <t>Thị xã Hương Trà</t>
  </si>
  <si>
    <t>Huyện Triệu Phong</t>
  </si>
  <si>
    <t>Huyện Quảng Ninh</t>
  </si>
  <si>
    <t>Huyện Gio Linh</t>
  </si>
  <si>
    <t>Huyện Cam Lộ</t>
  </si>
  <si>
    <t>Huyện Mộ Đức</t>
  </si>
  <si>
    <t>Huyện Phú Ninh</t>
  </si>
  <si>
    <t>Huyện Nghĩa Hành</t>
  </si>
  <si>
    <t>Huyện Quảng Điền</t>
  </si>
  <si>
    <t>Huyện Thăng Bình</t>
  </si>
  <si>
    <t>Huyện Hải Lăng</t>
  </si>
  <si>
    <t>Huyện Lệ Thủy</t>
  </si>
  <si>
    <t>Huyện Phú Vang</t>
  </si>
  <si>
    <t>Huyện Vĩnh Linh</t>
  </si>
  <si>
    <t>Thị xã Ba Đồn</t>
  </si>
  <si>
    <t>Huyện Phú Lộc</t>
  </si>
  <si>
    <t>Huyện Hướng Hóa</t>
  </si>
  <si>
    <t>Huyện Bình Sơn</t>
  </si>
  <si>
    <t>Huyện A Lưới</t>
  </si>
  <si>
    <t>Huyện Quế Sơn</t>
  </si>
  <si>
    <t>Huyện Núi Thành</t>
  </si>
  <si>
    <t>Huyện Đức Phổ</t>
  </si>
  <si>
    <t>Huyện Đại Lộc</t>
  </si>
  <si>
    <t>Huyện Minh Hóa</t>
  </si>
  <si>
    <t>Huyện Quảng Trạch</t>
  </si>
  <si>
    <t>Huyện Trà Bồng</t>
  </si>
  <si>
    <t>Huyện Đông Giang</t>
  </si>
  <si>
    <t>Huyện Tiên Phước</t>
  </si>
  <si>
    <t>Huyện Hiệp Đức</t>
  </si>
  <si>
    <t>Huyện Bắc Trà My</t>
  </si>
  <si>
    <t>Huyện Ba Tơ</t>
  </si>
  <si>
    <t>Huyện Sơn Tây</t>
  </si>
  <si>
    <t>Huyện Tuyên Hóa</t>
  </si>
  <si>
    <t>Huyện Minh Long</t>
  </si>
  <si>
    <t>Huyện Sơn Hà</t>
  </si>
  <si>
    <t>Huyện Nam Đông</t>
  </si>
  <si>
    <t>Huyện Nam Trà My</t>
  </si>
  <si>
    <t>Huyện Phước Sơn</t>
  </si>
  <si>
    <t>Huyện Tây Giang</t>
  </si>
  <si>
    <t>Huyện Đa Krông</t>
  </si>
  <si>
    <t>Huyện Tây Trà</t>
  </si>
  <si>
    <t>Huyện Nông Sơn</t>
  </si>
  <si>
    <t>Huyện Nam Giang</t>
  </si>
  <si>
    <t>Thành phố Hà Tĩnh</t>
  </si>
  <si>
    <t>Huyện Cẩm Xuyên</t>
  </si>
  <si>
    <t>Huyện Kỳ Anh</t>
  </si>
  <si>
    <t>Huyện Nghi Xuân</t>
  </si>
  <si>
    <t>Thị Xã Hồng Lĩnh</t>
  </si>
  <si>
    <t>Huyện Hương Khê</t>
  </si>
  <si>
    <t>Quận Hải An</t>
  </si>
  <si>
    <t>Quận Hồng Bàng</t>
  </si>
  <si>
    <t>Quận Lê Chân</t>
  </si>
  <si>
    <t>Quận Ngô Quyền</t>
  </si>
  <si>
    <t>Thành phố Bắc Giang</t>
  </si>
  <si>
    <t>Thành phố Bắc Kạn</t>
  </si>
  <si>
    <t>Thành phố Bắc Ninh</t>
  </si>
  <si>
    <t>Thành phố Cẩm Phả</t>
  </si>
  <si>
    <t>Thành phố Cao Bằng</t>
  </si>
  <si>
    <t>Thành phố Điện Biên Phủ</t>
  </si>
  <si>
    <t>Thành phố Hà Giang</t>
  </si>
  <si>
    <t>Thành phố Hạ Long</t>
  </si>
  <si>
    <t>Thành phố Hải Dương</t>
  </si>
  <si>
    <t>Thành phố Hòa Bình</t>
  </si>
  <si>
    <t>Thành phố Hưng Yên</t>
  </si>
  <si>
    <t>Thành phố Lai Châu</t>
  </si>
  <si>
    <t>Thành phố Lạng Sơn</t>
  </si>
  <si>
    <t>Thành phố Lào Cai</t>
  </si>
  <si>
    <t>Thành phố Nam Định</t>
  </si>
  <si>
    <t>Thành phố Ninh Bình</t>
  </si>
  <si>
    <t>Thành phố Phủ Lý</t>
  </si>
  <si>
    <t>Thành phố Sơn La</t>
  </si>
  <si>
    <t>Thành phố Thái Bình</t>
  </si>
  <si>
    <t>Thành phố Thái Nguyên</t>
  </si>
  <si>
    <t>Thành phố Thanh Hóa</t>
  </si>
  <si>
    <t>Thành phố Việt Trì</t>
  </si>
  <si>
    <t>Thành phố Vinh</t>
  </si>
  <si>
    <t>Thành phố Vĩnh Yên</t>
  </si>
  <si>
    <t>Thành phố Yên Bái</t>
  </si>
  <si>
    <t>Huyện An Dương</t>
  </si>
  <si>
    <t>Huyện Bát Xát</t>
  </si>
  <si>
    <t>Huyện Bình Giang</t>
  </si>
  <si>
    <t>Huyện Bình Xuyên</t>
  </si>
  <si>
    <t>Huyện Cẩm Giàng</t>
  </si>
  <si>
    <t>Huyện Đông Hưng</t>
  </si>
  <si>
    <t>Huyện Đồng Hỷ</t>
  </si>
  <si>
    <t>Huyện Duy Tiên</t>
  </si>
  <si>
    <t>Huyện Hoằng Hóa</t>
  </si>
  <si>
    <t>Huyện Kim Động</t>
  </si>
  <si>
    <t>Huyện Nam Sách</t>
  </si>
  <si>
    <t>Huyện Quảng Xương</t>
  </si>
  <si>
    <t>Huyện Quế Võ</t>
  </si>
  <si>
    <t>Huyện Thuận Thành</t>
  </si>
  <si>
    <t>Huyện Thủy Nguyên</t>
  </si>
  <si>
    <t>Huyện Tiên Du</t>
  </si>
  <si>
    <t>Huyện Việt Yên</t>
  </si>
  <si>
    <t>Huyện Vĩnh Tường</t>
  </si>
  <si>
    <t>Huyện Vũ Thư</t>
  </si>
  <si>
    <t>Huyện Yên Dũng</t>
  </si>
  <si>
    <t>Huyện Yên Khánh</t>
  </si>
  <si>
    <t>Huyện Yên Lạc</t>
  </si>
  <si>
    <t>Huyện Yên Phong</t>
  </si>
  <si>
    <t>Huyện Yên Sơn</t>
  </si>
  <si>
    <t>Quận Dương Kinh</t>
  </si>
  <si>
    <t>Quận Kiến An</t>
  </si>
  <si>
    <t>Thị Xã Cửa Lò</t>
  </si>
  <si>
    <t>Thị xã Sông Công</t>
  </si>
  <si>
    <t>Thị Xã Tam Điệp</t>
  </si>
  <si>
    <t>Thị Xã Từ Sơn</t>
  </si>
  <si>
    <t>Huyện Hà Trung</t>
  </si>
  <si>
    <t>Huyện Nghi Lộc</t>
  </si>
  <si>
    <t>Huyện Thái Thụy</t>
  </si>
  <si>
    <t>Thị xã Phúc Yên</t>
  </si>
  <si>
    <t>Huyện Tam Dương</t>
  </si>
  <si>
    <t>Huyện Lộc Bình</t>
  </si>
  <si>
    <t>Huyện Cao Lộc</t>
  </si>
  <si>
    <t>Huyện Kim Bảng</t>
  </si>
  <si>
    <t>Huyện Gia Lộc</t>
  </si>
  <si>
    <t>Huyện Lý Nhân</t>
  </si>
  <si>
    <t>Huyện Tiên Lữ</t>
  </si>
  <si>
    <t>Huyện Hưng Nguyên</t>
  </si>
  <si>
    <t>Huyện Nam Trực</t>
  </si>
  <si>
    <t>Huyện Kiến Xương</t>
  </si>
  <si>
    <t>Huyện Lâm Thao</t>
  </si>
  <si>
    <t>Huyện Đà Bắc</t>
  </si>
  <si>
    <t>Huyện Bình Lục</t>
  </si>
  <si>
    <t>Huyện Thanh Liêm</t>
  </si>
  <si>
    <t>Huyện Mỹ Lộc</t>
  </si>
  <si>
    <t>Huyện Lục Nam</t>
  </si>
  <si>
    <t>Huyện Hoa Lư</t>
  </si>
  <si>
    <t>Huyện Thạch Hà</t>
  </si>
  <si>
    <t>Huyện Đông Sơn</t>
  </si>
  <si>
    <t>Huyện Kỳ Sơn</t>
  </si>
  <si>
    <t>Huyện Kim Sơn</t>
  </si>
  <si>
    <t>Huyện Tam Đảo</t>
  </si>
  <si>
    <t>Huyện Trực Ninh</t>
  </si>
  <si>
    <t>Huyện Nam Đàn</t>
  </si>
  <si>
    <t>Huyện Vụ Bản</t>
  </si>
  <si>
    <t>Huyện Trấn Yên</t>
  </si>
  <si>
    <t>Huyện Yên Mô</t>
  </si>
  <si>
    <t>Huyện Gia Viễn</t>
  </si>
  <si>
    <t>Huyện Can Lộc</t>
  </si>
  <si>
    <t>Huyện Lộc Hà</t>
  </si>
  <si>
    <t>Huyện Ninh Giang</t>
  </si>
  <si>
    <t>Huyện Thanh Miện</t>
  </si>
  <si>
    <t>Huyện Thanh Hà</t>
  </si>
  <si>
    <t>Huyện Thiệu Hóa</t>
  </si>
  <si>
    <t>Huyện Kiến Thụy</t>
  </si>
  <si>
    <t>Huyện Tiền Hải</t>
  </si>
  <si>
    <t>Huyện Tứ Kỳ</t>
  </si>
  <si>
    <t>Huyện Nghĩa Hưng</t>
  </si>
  <si>
    <t>Huyện Nông Cống</t>
  </si>
  <si>
    <t>Huyện Triệu Sơn</t>
  </si>
  <si>
    <t>Huyện Phù Cừ</t>
  </si>
  <si>
    <t>Huyện Cao Phong</t>
  </si>
  <si>
    <t>Thành phố Móng Cái</t>
  </si>
  <si>
    <t>Huyện Ân Thi</t>
  </si>
  <si>
    <t>Huyện Anh Sơn</t>
  </si>
  <si>
    <t>Huyện Con Cuông</t>
  </si>
  <si>
    <t>Huyện Diễn Châu</t>
  </si>
  <si>
    <t>Huyện Đô Lương</t>
  </si>
  <si>
    <t>Huyện Gia Bình</t>
  </si>
  <si>
    <t>Huyện Hiệp Hoà</t>
  </si>
  <si>
    <t>Huyện Hưng Hà</t>
  </si>
  <si>
    <t>Huyện Khoái Châu</t>
  </si>
  <si>
    <t>Huyện Kinh Môn</t>
  </si>
  <si>
    <t>Huyện Lạng Giang</t>
  </si>
  <si>
    <t>Huyện Mường Lát</t>
  </si>
  <si>
    <t>Huyện Mỹ Hào</t>
  </si>
  <si>
    <t>Huyện Nghĩa Đàn</t>
  </si>
  <si>
    <t>Huyện Quan Hóa</t>
  </si>
  <si>
    <t>Huyện Quỳ Hợp</t>
  </si>
  <si>
    <t>Huyện Quỳnh Lưu</t>
  </si>
  <si>
    <t>Huyện Quỳnh Phụ</t>
  </si>
  <si>
    <t>Huyện Sơn Động</t>
  </si>
  <si>
    <t>Huyện Tân Yên</t>
  </si>
  <si>
    <t>Huyện Thọ Xuân</t>
  </si>
  <si>
    <t>Huyện Thường Xuân</t>
  </si>
  <si>
    <t>Huyện Tiên Lãng</t>
  </si>
  <si>
    <t>Huyện Tĩnh Gia</t>
  </si>
  <si>
    <t>Huyện Vĩnh Bảo</t>
  </si>
  <si>
    <t>Huyện Vĩnh Lộc</t>
  </si>
  <si>
    <t>Huyện Ý Yên</t>
  </si>
  <si>
    <t>Huyện Yên Mỹ</t>
  </si>
  <si>
    <t>Huyện Yên Thành</t>
  </si>
  <si>
    <t>Huyện Yên Thế</t>
  </si>
  <si>
    <t>Quận Đồ Sơn</t>
  </si>
  <si>
    <t>Thành phố Uông Bí</t>
  </si>
  <si>
    <t>Thị Xã Bỉm Sơn</t>
  </si>
  <si>
    <t>Thị Xã Hoàng Mai</t>
  </si>
  <si>
    <t>Thị Xã Thái Hòa</t>
  </si>
  <si>
    <t>Huyện Hải Hậu</t>
  </si>
  <si>
    <t>Huyện Tân Kỳ</t>
  </si>
  <si>
    <t>Huyện Thạch Thành</t>
  </si>
  <si>
    <t>Huyện Ngọc Lặc</t>
  </si>
  <si>
    <t>Huyện Yên Định</t>
  </si>
  <si>
    <t>Huyện Như Xuân</t>
  </si>
  <si>
    <t>Thị xã Quảng Yên</t>
  </si>
  <si>
    <t>Huyện Thuận Châu</t>
  </si>
  <si>
    <t>Huyện Nậm Nhùm</t>
  </si>
  <si>
    <t>Huyện Than Uyên</t>
  </si>
  <si>
    <t>Huyện Tiên Yên</t>
  </si>
  <si>
    <t>Huyện Văn Lâm</t>
  </si>
  <si>
    <t>Huyện Điện Biên</t>
  </si>
  <si>
    <t>Huyện Ba Bể</t>
  </si>
  <si>
    <t>Thị xã Nghĩa Lộ</t>
  </si>
  <si>
    <t>Huyện Bảo Yên</t>
  </si>
  <si>
    <t>Huyện đảo Vân Đồn</t>
  </si>
  <si>
    <t>Huyện Vị Xuyên</t>
  </si>
  <si>
    <t>Huyện Bắc Quang</t>
  </si>
  <si>
    <t>Huyện Tuần Giáo</t>
  </si>
  <si>
    <t>Huyện Lục Ngạn</t>
  </si>
  <si>
    <t>Huyện Võ Nhai</t>
  </si>
  <si>
    <t>Huyện Văn Giang</t>
  </si>
  <si>
    <t>Huyện Kim Thành</t>
  </si>
  <si>
    <t>Huyện Phong Thổ</t>
  </si>
  <si>
    <t>Huyện Đồng Văn</t>
  </si>
  <si>
    <t>Thị xã Chí Linh</t>
  </si>
  <si>
    <t>Huyện Cẩm Khê</t>
  </si>
  <si>
    <t>Huyện Phù Yên</t>
  </si>
  <si>
    <t>Huyện Thanh Sơn</t>
  </si>
  <si>
    <t>Thị xã Mường Lay</t>
  </si>
  <si>
    <t>Huyện Lục Yên</t>
  </si>
  <si>
    <t>Thị xã Phú Thọ</t>
  </si>
  <si>
    <t>Huyện Trùng Khánh</t>
  </si>
  <si>
    <t>Huyện Hòa An</t>
  </si>
  <si>
    <t>Huyện Sa Pa</t>
  </si>
  <si>
    <t>Huyện Phổ Yên</t>
  </si>
  <si>
    <t>Huyện Tam Đường</t>
  </si>
  <si>
    <t>Huyện Văn Chấn</t>
  </si>
  <si>
    <t>Huyện Phù Ninh</t>
  </si>
  <si>
    <t>Huyện Hữu Lũng</t>
  </si>
  <si>
    <t>Huyện Tràng Định</t>
  </si>
  <si>
    <t>Huyện Hậu Lộc</t>
  </si>
  <si>
    <t>Huyện Hải Hà</t>
  </si>
  <si>
    <t>Huyện Quan Sơn</t>
  </si>
  <si>
    <t>Huyện Phú Bình</t>
  </si>
  <si>
    <t>Huyện Mù Cang Chải</t>
  </si>
  <si>
    <t>Huyện Mộc Châu</t>
  </si>
  <si>
    <t>Huyện Quang Bình</t>
  </si>
  <si>
    <t>Huyện Quản Bạ</t>
  </si>
  <si>
    <t>Huyện Na Hang</t>
  </si>
  <si>
    <t>Huyện Lương Sơn</t>
  </si>
  <si>
    <t>Huyện Xín Mần</t>
  </si>
  <si>
    <t>Huyện Lâm Bình</t>
  </si>
  <si>
    <t>Huyện Mường Chà</t>
  </si>
  <si>
    <t>Huyện Lương Tài</t>
  </si>
  <si>
    <t>Huyện Bạch Thông</t>
  </si>
  <si>
    <t>Huyện Bắc Hà</t>
  </si>
  <si>
    <t>Huyện Lập Thạch</t>
  </si>
  <si>
    <t>Huyện Đoan Hùng</t>
  </si>
  <si>
    <t>Huyện Tủa Chùa</t>
  </si>
  <si>
    <t>Huyện Văn Yên</t>
  </si>
  <si>
    <t>Huyện Hoàng Su Phì</t>
  </si>
  <si>
    <t>Huyện Tân Sơn</t>
  </si>
  <si>
    <t>Huyện Mường Tè</t>
  </si>
  <si>
    <t>Huyện Đại Từ</t>
  </si>
  <si>
    <t>Huyện Mai Sơn</t>
  </si>
  <si>
    <t>Huyện Hạ Hòa</t>
  </si>
  <si>
    <t>Huyện Bình Liêu</t>
  </si>
  <si>
    <t>Huyện Tân Uyên</t>
  </si>
  <si>
    <t>Huyện Sông Mã</t>
  </si>
  <si>
    <t>Huyện Mèo Vạc</t>
  </si>
  <si>
    <t>Huyện Yên Minh</t>
  </si>
  <si>
    <t>Huyện Sìn Hồ</t>
  </si>
  <si>
    <t>Huyện Hàm Yên</t>
  </si>
  <si>
    <t>Huyện Tân Lạc</t>
  </si>
  <si>
    <t>Huyện Phục Hòa</t>
  </si>
  <si>
    <t>Huyện Mường Nhé</t>
  </si>
  <si>
    <t>Huyện Đông Triều</t>
  </si>
  <si>
    <t>Huyện Bình Gia</t>
  </si>
  <si>
    <t>Huyện Đình Lập</t>
  </si>
  <si>
    <t>Huyện Mường La</t>
  </si>
  <si>
    <t>Huyện Bắc Sơn</t>
  </si>
  <si>
    <t>Huyện Giao Thủy</t>
  </si>
  <si>
    <t>Huyện Văn Bàn</t>
  </si>
  <si>
    <t>Huyện Thanh Chương</t>
  </si>
  <si>
    <t>Huyện Quế Phong</t>
  </si>
  <si>
    <t>Huyện Đầm Hà</t>
  </si>
  <si>
    <t>Huyện Ba Chẽ</t>
  </si>
  <si>
    <t>Huyện Thanh Ba</t>
  </si>
  <si>
    <t>Huyện Chi Lăng</t>
  </si>
  <si>
    <t>Huyện Đức Thọ</t>
  </si>
  <si>
    <t>Huyện Hoành Bồ</t>
  </si>
  <si>
    <t>Huyện Sông Lô</t>
  </si>
  <si>
    <t>huyện Sốp Cộp</t>
  </si>
  <si>
    <t>Huyện Văn Lãng</t>
  </si>
  <si>
    <t>Huyện Chợ Đồn</t>
  </si>
  <si>
    <t>Huyện Trạm Tấu</t>
  </si>
  <si>
    <t>Huyện Yên Bình</t>
  </si>
  <si>
    <t>Huyện Hà Quảng</t>
  </si>
  <si>
    <t>Huyện Định Hóa</t>
  </si>
  <si>
    <t>Huyện Quỳ Châu</t>
  </si>
  <si>
    <t>Huyện Văn Quan</t>
  </si>
  <si>
    <t>Huyện Nga Sơn</t>
  </si>
  <si>
    <t>Huyện Thạch An</t>
  </si>
  <si>
    <t>Thị xã Kỳ Anh</t>
  </si>
  <si>
    <t>Huyện Lang Chánh</t>
  </si>
  <si>
    <t>Huyện Hương Sơn</t>
  </si>
  <si>
    <t>Huyện Thông Nông</t>
  </si>
  <si>
    <t>Huyện Tương Dương</t>
  </si>
  <si>
    <t>Huyện Nho Quan</t>
  </si>
  <si>
    <t>Huyện Pác Nặm</t>
  </si>
  <si>
    <t>Huyện Bá Thước</t>
  </si>
  <si>
    <t>Huyện Cẩm Thủy</t>
  </si>
  <si>
    <t>Huyện Xuân Trường</t>
  </si>
  <si>
    <t>Huyện Chiêm Hóa</t>
  </si>
  <si>
    <t>Huyện Ngân Sơn</t>
  </si>
  <si>
    <t>Huyện Bảo Lạc</t>
  </si>
  <si>
    <t>Huyện Sơn Dương</t>
  </si>
  <si>
    <t>Huyện Trà Lĩnh</t>
  </si>
  <si>
    <t>Huyện Na Rì</t>
  </si>
  <si>
    <t>Huyện Hạ Lang</t>
  </si>
  <si>
    <t>Huyện Vũ Quang</t>
  </si>
  <si>
    <t>Huyện Quảng Uyên</t>
  </si>
  <si>
    <t>Huyện Nguyên Bình</t>
  </si>
  <si>
    <t>Huyện Bảo Thắng</t>
  </si>
  <si>
    <t>Huyện Mường Khương</t>
  </si>
  <si>
    <t>Huyện Thanh Thủy</t>
  </si>
  <si>
    <t>Huyện đảo Cô Tô</t>
  </si>
  <si>
    <t>Huyện Bắc Yên</t>
  </si>
  <si>
    <t>Huyện Kim Bôi</t>
  </si>
  <si>
    <t>Huyện Yên Châu</t>
  </si>
  <si>
    <t>Huyện Vân Hồ</t>
  </si>
  <si>
    <t>Huyện Như Thanh</t>
  </si>
  <si>
    <t>Huyện Quỳnh Nhai</t>
  </si>
  <si>
    <t>Huyện Lạc Sơn</t>
  </si>
  <si>
    <t>Huyện Xi Ma Cai</t>
  </si>
  <si>
    <t>Huyện Bắc Mê</t>
  </si>
  <si>
    <t>Huyện Mai Châu</t>
  </si>
  <si>
    <t>Huyện Phú Lương</t>
  </si>
  <si>
    <t>Huyện Mường Ảng</t>
  </si>
  <si>
    <t>Huyện Điện Biên Đông</t>
  </si>
  <si>
    <t>Huyện Yên Lập</t>
  </si>
  <si>
    <t>Huyện Yên Thủy</t>
  </si>
  <si>
    <t>Huyện Lạc Thủy</t>
  </si>
  <si>
    <t>Huyện đảo Cát Hải</t>
  </si>
  <si>
    <t>Huyện Nậm Pồ</t>
  </si>
  <si>
    <t>Huyện đảo Kiên Hải</t>
  </si>
  <si>
    <t>Bưu Cục 288 Núi Thành-Q.Hải Châu-Đà Nẵng</t>
  </si>
  <si>
    <t>Bưu Cục 292 Đinh Bộ Lĩnh-Q.Bình Thạnh-HCM</t>
  </si>
  <si>
    <t>Route</t>
  </si>
  <si>
    <t>Tiki Note
(Kg)</t>
  </si>
  <si>
    <t>GHN Note
(Kg)</t>
  </si>
  <si>
    <t>GAP</t>
  </si>
  <si>
    <t>Bưu Cục 680 QL1-TP.Sóc Trăng</t>
  </si>
  <si>
    <t>Bưu Cục 65 Nguyễn Văn Thoát-TP.Bắc Kạn</t>
  </si>
  <si>
    <t>Bưu Cục 55 Trần Thị Do-Q.12-HCM</t>
  </si>
  <si>
    <t>Bưu Cục 2999 Phạm Thế Hiển-Q.8-HCM</t>
  </si>
  <si>
    <t>Bưu Cục 70 Đỗ Anh Hàn-Q.Sơn Trà-Đà Nẵng</t>
  </si>
  <si>
    <t>Bưu Cục 18 An Dương Vương-Q.Ngũ Hành Sơn-Đà Nẵng</t>
  </si>
  <si>
    <t>Bưu Cục 1130 Đông Hưng Thuận 05-Q.12-HCM</t>
  </si>
  <si>
    <t>Bưu Cục 198 Thạnh Lộc 15-Q.12-HCM</t>
  </si>
  <si>
    <t>Bưu Cục 109/3 Trần Quốc Toản-Biên Hòa-Đồng Nai</t>
  </si>
  <si>
    <t>Route Tiki</t>
  </si>
  <si>
    <t>Route Hợp Đồng</t>
  </si>
  <si>
    <t>Bưu Cục 33 Lê Duẩn-TP.Sóc Trăng</t>
  </si>
  <si>
    <t>Bưu Cục Cầu Bươu-ThanhTrì-HN</t>
  </si>
  <si>
    <t>Bưu Cục 57 Hạ Đình-Q.Thanh Xuân-HN 03</t>
  </si>
  <si>
    <t>Bưu Cục Phan Rang-Ninh Thuận</t>
  </si>
  <si>
    <t>Bưu Cục Tân Kiên-Bình Chánh-HCM</t>
  </si>
  <si>
    <t>Bưu Cục An Khánh-Q.Ninh Kiều-Cần Thơ</t>
  </si>
  <si>
    <t>Bưu Cục 17 Phùng Ngọc Liêm-TP.Bạc Liêu</t>
  </si>
  <si>
    <t>Bưu Cục 124 Võ Văn Kiệt-Q.Bình Thủy-Cần Thơ</t>
  </si>
  <si>
    <t>Bưu Cục Sơn Tịnh-Quảng Ngãi</t>
  </si>
  <si>
    <t>Bưu Cục 400 Lê Hồng Phong-Châu Đức-Bà Rịa Vũng Tàu</t>
  </si>
  <si>
    <t>Bưu Cục Thuận Nam-Ninh Thuận</t>
  </si>
  <si>
    <t>Bưu Cục 57 Hạ Đình-Q.Thanh Xuân-HN 01</t>
  </si>
  <si>
    <t>Bưu Cục 55C Nguyễn Khoái-Q.Hai Bà Trưng-HN</t>
  </si>
  <si>
    <t>Bưu Cục Tuy Phong-Bình Thuận</t>
  </si>
  <si>
    <t>Bưu Cục 57 Hạ Đình-Q.Thanh Xuân-HN 02</t>
  </si>
  <si>
    <t>Bưu Cục 190 Nguyễn Sỹ Sách-TP.Vinh-Nghệ An</t>
  </si>
  <si>
    <t>Ma Don GHN</t>
  </si>
  <si>
    <t>Ma Don Tiki</t>
  </si>
  <si>
    <t>SLA Leadtime</t>
  </si>
  <si>
    <t>Linehaul Fee</t>
  </si>
  <si>
    <t>From 1</t>
  </si>
  <si>
    <t>From 2</t>
  </si>
  <si>
    <t>To 2</t>
  </si>
  <si>
    <t>Province/City</t>
  </si>
  <si>
    <t>District</t>
  </si>
  <si>
    <t>Urban</t>
  </si>
  <si>
    <t>Area</t>
  </si>
  <si>
    <t>suburban 2</t>
  </si>
  <si>
    <t>South</t>
  </si>
  <si>
    <t>suburban 1</t>
  </si>
  <si>
    <t>urban</t>
  </si>
  <si>
    <t>Bà Rịa - Vũng Tàu</t>
  </si>
  <si>
    <t>Huyện Hiệp Hòa</t>
  </si>
  <si>
    <t>North</t>
  </si>
  <si>
    <t>Thành Phố Bắc Kạn</t>
  </si>
  <si>
    <t>Thị xã Từ Sơn</t>
  </si>
  <si>
    <t>South central</t>
  </si>
  <si>
    <t>Thị xã Bình Long</t>
  </si>
  <si>
    <t>Thị xã Phước Long</t>
  </si>
  <si>
    <t>Thị xã La Gi</t>
  </si>
  <si>
    <t>North central</t>
  </si>
  <si>
    <t>Huyện Hoàng Sa</t>
  </si>
  <si>
    <t>Huyện Buôn Đôn</t>
  </si>
  <si>
    <t>Thị Xã Buôn Hồ</t>
  </si>
  <si>
    <t>Thị Xã Mường Lay</t>
  </si>
  <si>
    <t>Huyện KBang</t>
  </si>
  <si>
    <t>Thị xã An Khê</t>
  </si>
  <si>
    <t>Thị xã Ayun Pa</t>
  </si>
  <si>
    <t>Thị xã Hồng Lĩnh</t>
  </si>
  <si>
    <t>Huyện Bạch Long Vĩ</t>
  </si>
  <si>
    <t>Thị xã Ngã Bảy</t>
  </si>
  <si>
    <t>Huyện Trường Sa</t>
  </si>
  <si>
    <t>Huyện Tu Mơ Rông</t>
  </si>
  <si>
    <t>Thành phố Bảo Lộc</t>
  </si>
  <si>
    <t>Thị xã Cửa Lò</t>
  </si>
  <si>
    <t>Thị xã Hoàng Mai</t>
  </si>
  <si>
    <t>Thị xã Sông Cầu</t>
  </si>
  <si>
    <t>Thành Phố Đồng Hới</t>
  </si>
  <si>
    <t>Huyện Cồn Cỏ</t>
  </si>
  <si>
    <t>Huyện Sốp Cộp</t>
  </si>
  <si>
    <t>Thị xã Bỉm Sơn</t>
  </si>
  <si>
    <t>Thị xã Sầm Sơn</t>
  </si>
  <si>
    <t>Tỉnh/TP</t>
  </si>
  <si>
    <t>Quận/Huyện - Tỉnh/TP</t>
  </si>
  <si>
    <t>Huyện đảo Côn Đảo</t>
  </si>
  <si>
    <t>Huyện Đắk R Lấp</t>
  </si>
  <si>
    <t>Thị xã Thái Hòa</t>
  </si>
  <si>
    <t>Thừa Thiên - Huế</t>
  </si>
  <si>
    <t xml:space="preserve"> </t>
  </si>
  <si>
    <t>From 0</t>
  </si>
  <si>
    <t>To 0</t>
  </si>
  <si>
    <t>To 1</t>
  </si>
  <si>
    <t>Bưu Cục Văn Quán-Q.Hà Đông-HN</t>
  </si>
  <si>
    <t>Bưu Cục Sơn Hà-Quảng Ngãi</t>
  </si>
  <si>
    <t>Quãng Ngãi</t>
  </si>
  <si>
    <t>Bưu Cục Phú Diễn-Q.Bắc Từ Liêm-HN</t>
  </si>
  <si>
    <t>2 Ngày</t>
  </si>
  <si>
    <t>To 3</t>
  </si>
  <si>
    <t>To 4</t>
  </si>
  <si>
    <t>From 3</t>
  </si>
  <si>
    <t>From 4</t>
  </si>
  <si>
    <t>SATUS</t>
  </si>
  <si>
    <t>Same Region 1</t>
  </si>
  <si>
    <t>Same Region 2</t>
  </si>
  <si>
    <t>Speccial Cross- Region</t>
  </si>
  <si>
    <t>Cross- Region</t>
  </si>
  <si>
    <t>Same Province Suburban 1</t>
  </si>
  <si>
    <t>Same Province Suburban 2</t>
  </si>
  <si>
    <t>Same Province</t>
  </si>
  <si>
    <t>Special Cross- Region</t>
  </si>
  <si>
    <t>Cross Region</t>
  </si>
  <si>
    <t>Bưu Cục Gia Viễn-Ninh Bình</t>
  </si>
  <si>
    <t>Bưu Cục Kim Sơn-Ninh Bình</t>
  </si>
  <si>
    <t xml:space="preserve">SỐ NGÀY GIAO </t>
  </si>
  <si>
    <t>Bưu Cục Tân Kỳ-Nghệ An</t>
  </si>
  <si>
    <t>Bưu Cục An Lão-Hải Phòng</t>
  </si>
  <si>
    <t>Bưu Cục Kiến Thụy-Hải Phòng</t>
  </si>
  <si>
    <t>Trả thành công/Hoàn tất</t>
  </si>
  <si>
    <t>Bưu Cục Thoại Sơn-An Giang</t>
  </si>
  <si>
    <t>Bưu Cục 81 Nguyễn Chí Thanh-Cam Ranh-Khánh Hòa</t>
  </si>
  <si>
    <t>Bưu Cục 19 Đội Cấn-Bảo Lộc-Lâm Đồng</t>
  </si>
  <si>
    <t>Bưu Cục 352 Huỳnh Văn Bánh-Q.Phú Nhuận-HCM</t>
  </si>
  <si>
    <t>Bưu Cục Nguyễn An Ninh-Vị Thanh-Hậu Giang</t>
  </si>
  <si>
    <t>Bưu Cục Hoàng Liệt-Q.Hoàng Mai-HN</t>
  </si>
  <si>
    <t>Bưu Cục Lái Thiêu-Thuận An-Bình Dương</t>
  </si>
  <si>
    <t>Bưu Cục Cái Bè-Tiền Giang</t>
  </si>
  <si>
    <t>Bưu Cục An Dương-Hải Phòng</t>
  </si>
  <si>
    <t>Bưu Cục Gò Công-Tiền Giang</t>
  </si>
  <si>
    <t>Bưu Cục 104 Lương Ngọc Quyến-Q.Bình Thạnh-HCM</t>
  </si>
  <si>
    <t>Bưu Cục 275A Phan Văn Mãng-Bến Lức-Long An</t>
  </si>
  <si>
    <t>Bưu Cục Thanh Hà-Hải Dương</t>
  </si>
  <si>
    <t>Bưu Cục Ninh Hiệp-Gia Lâm-HN</t>
  </si>
  <si>
    <t>Bưu Cục 188 Khương Đình-Q.Thanh Xuân-HN</t>
  </si>
  <si>
    <t>Bưu Cục 65/1 Cao Đặng Chiếm-TX.Cai Lậy-Tiền Giang</t>
  </si>
  <si>
    <t>Bưu Cục Thanh Miện_Hải Dương</t>
  </si>
  <si>
    <t>Bưu Cục Yên Mô-Ninh Bình</t>
  </si>
  <si>
    <t>Bưu Cục 291A Nguyễn Duy-Q.8-HCM</t>
  </si>
  <si>
    <t>Bưu Cục Ba Tơ-Quảng Ngãi</t>
  </si>
  <si>
    <t>Bưu cục 67 Điện Biên-TX.Nghĩa Lộ-Yên Bái</t>
  </si>
  <si>
    <t>Bưu Cục 168 Ngô Quyền-Đà Lạt-Lâm Đồng</t>
  </si>
  <si>
    <t>Bưu Cục 102A Nguyễn Trãi-TP.Hà Giang</t>
  </si>
  <si>
    <t>Bưu Cục 5B Thanh Đàm-Q.Hoàng Mai-HN</t>
  </si>
  <si>
    <t>Bưu Cục 148 Nguyễn Đăng Lành-Nam Sách-Hải Dương</t>
  </si>
  <si>
    <t>Bưu Cục Buôn Đôn-Đắk Lắk</t>
  </si>
  <si>
    <t>Bưu Cục 116 Hoàng Hoa Thám-Buôn Ma Thuột-Đắk Lắk</t>
  </si>
  <si>
    <t>Bưu Cục 1135 Phan Văn Trị-Q.Gò Vấp-HCM</t>
  </si>
  <si>
    <t>Bưu Cục 558 Phạm Văn Chiêu-Q.Gò Vấp-HCM</t>
  </si>
  <si>
    <t>Bưu Cục 796 Quang Trung-Q.Gò Vấp-HCM</t>
  </si>
  <si>
    <t>Bưu Cục Tháp Mười-Đồng Tháp</t>
  </si>
  <si>
    <t>Bưu Cục Hòa Thuận-Buôn Ma Thuột-Đắk Lắk</t>
  </si>
  <si>
    <t>Bưu Cục Thắng Lợi-Thường Tín-HN</t>
  </si>
  <si>
    <t>Bưu Cục 128 Đồng Nai-Q.10-HCM</t>
  </si>
  <si>
    <t>Bưu Cục 496 Điện Biên Phủ-Q.10-HCM</t>
  </si>
  <si>
    <t>Bưu Cục Đức Cơ-Gia Lai</t>
  </si>
  <si>
    <t>Bưu Cục 63 Nguyễn Thiếp-Pleiku-Gia Lai</t>
  </si>
  <si>
    <t>Bưu Cục An Khê-Gia Lai</t>
  </si>
  <si>
    <t>Bưu Cục 116A Phạm Văn Đồng-Q.Cầu Giấy-HN</t>
  </si>
  <si>
    <t>Bưu Cục Ea Knop-Ea Kar-Đắk Lắk</t>
  </si>
  <si>
    <t>Bưu Cục Tam Nông-Đồng Tháp</t>
  </si>
  <si>
    <t>Bưu Cục Vĩnh Hưng-Q.Hoàng Mai-HN</t>
  </si>
  <si>
    <t>Bưu Cục Ql50-Bình Chánh-HCM</t>
  </si>
  <si>
    <t>Bưu Cục 35/6 Phan Văn Hớn-Q.12-HCM</t>
  </si>
  <si>
    <t>Bưu Cục 1A38 Trần Văn Giàu-Bình Chánh-HCM</t>
  </si>
  <si>
    <t>Bưu Cục 1221 Nguyễn Duy Trinh-Q.9-HCM</t>
  </si>
  <si>
    <t>Bưu Cục 126 Tỉnh Lộ 8-Củ Chi-HCM</t>
  </si>
  <si>
    <t>Bưu Cục 68 Đình Phong Phú-Q.9-HCM</t>
  </si>
  <si>
    <t>Bưu Cục 80A Dương Đình Hội-Q.9-HCM</t>
  </si>
  <si>
    <t>Bưu Cục 509 Trần Phú-TP.Hà Tĩnh 02</t>
  </si>
  <si>
    <t>Bưu Cục Phước Long-Bình Phước</t>
  </si>
  <si>
    <t>Bưu Cục 154B Mai Thị Hồng Hạnh-Rạch Giá-Kiên Giang</t>
  </si>
  <si>
    <t>Bưu Cục Hớn Quản-Bình Phước</t>
  </si>
  <si>
    <t>Bưu Cục 28 Bắc Son 2-Trảng Bom-Đồng Nai</t>
  </si>
  <si>
    <t>Bưu Cục 15 Hàng Bún-Q.Ba Đình-HN</t>
  </si>
  <si>
    <t>Bưu Cục Trảng Dài-Biên Hòa-Đồng Nai</t>
  </si>
  <si>
    <t>Bưu Cục Ayun Pa-Gia Lai</t>
  </si>
  <si>
    <t>Bưu Cục 933 Tôn Đức Thắng-Q.Hồng Bàng-Hải Phòng</t>
  </si>
  <si>
    <t>Bưu Cục 599 Nguyễn Văn Cừ-Hạ Long-Quảng Ninh</t>
  </si>
  <si>
    <t>Bưu Cục 29 Nguyễn Trãi-Q.Ngô Quyền-Hải Phòng</t>
  </si>
  <si>
    <t>Bưu Cục 793 Trần Nhân Tông-Q.Kiến An-Hải Phòng</t>
  </si>
  <si>
    <t>Bưu Cục Văn Bình-Thường Tín-HN</t>
  </si>
  <si>
    <t>Bưu Cục Bình Hòa-Thuận An-Bình Dương</t>
  </si>
  <si>
    <t>Bưu cục 111A Phạm Văn Hai-Q.Tân Bình-HCM</t>
  </si>
  <si>
    <t>Bưu Cục 1046 Trường Sa-Q.3-HCM</t>
  </si>
  <si>
    <t>Bưu Cục Tân Mai-Q.Hoàng Mai-HN</t>
  </si>
  <si>
    <t>Bưu Cục 41 Trần Quốc Vượng-Q.Cầu Giấy-HN</t>
  </si>
  <si>
    <t>Bưu Cục 41 Đông Tác-Q.Đống Đa-HN</t>
  </si>
  <si>
    <t>1058 - Bưu Cục 254-256 Âu Cơ-Q.Liên Chiểu-Đà Nẵng</t>
  </si>
  <si>
    <t>Bưu Cục 141 Đường Số 5 An Phú-Q.2-HCM</t>
  </si>
  <si>
    <t>Bưu Cục 971 Nguyễn Kiệm-Q.Gò Vấp-HCM</t>
  </si>
  <si>
    <t>Bưu Cục 7 Hồ Hảo Hớn-Q.1-HCM</t>
  </si>
  <si>
    <t>Bưu Cục 7/11 Lê Thị Hà-Hóc Môn-HCM</t>
  </si>
  <si>
    <t>Bưu Cục 43/5A Đặng Thúc Vịnh-Hóc Môn-HCM</t>
  </si>
  <si>
    <t>Bưu Cục An Thạnh-Thuận An-Bình Dương</t>
  </si>
  <si>
    <t>Bưu Cục Thới Hòa-Bến Cát-Bình Dương</t>
  </si>
  <si>
    <t>Bưu Cục Hóa An-Biên Hòa-Đồng Nai</t>
  </si>
  <si>
    <t>Bưu Cục Hòa Phú-Buôn Ma Thuột-Đắk Lắk</t>
  </si>
  <si>
    <t>Bưu Cục Yên Nghĩa-Q.Hà Đông-HN</t>
  </si>
  <si>
    <t>Bưu Cục 12 Trịnh Đình Cửu-Q.Hoàng Mai-HN</t>
  </si>
  <si>
    <t>Bưu Cục 903B Tạ Quang Bửu-Q.8-HCM</t>
  </si>
  <si>
    <t>Bưu Cục Đào Viên-Quế Võ-Bắc Ninh</t>
  </si>
  <si>
    <t>Bưu Cục Xuân Phú A-Yên Dũng-Bắc Giang</t>
  </si>
  <si>
    <t>Bưu Cục Cẩm Thủy-Thanh Hóa</t>
  </si>
  <si>
    <t>Bưu Cục 349 Xuân Phương-Q.Nam Từ Liêm-HN</t>
  </si>
  <si>
    <t>a51 khu dan cu Tan thuan nam,, Phường Phú Thuận, Quận 7, Hồ Chí Minh</t>
  </si>
  <si>
    <t>25 Đào Trí, Phường Phú Thuận, Quận 7, Hồ Chí Minh</t>
  </si>
  <si>
    <t>Bưu Cục 1106A Tỉnh Lộ 10-Q.Bình Tân-HCM</t>
  </si>
  <si>
    <t>Bưu cục 285A Nguyễn Văn Tăng-Q.9-HCM</t>
  </si>
  <si>
    <t>Bưu Cục QL53-Vũng Liêm-Vĩnh Long</t>
  </si>
  <si>
    <t>Bưu Cục 32 Đường Số 3 Bình Hưng Hòa B-Q.Bình Tân-HCM</t>
  </si>
  <si>
    <t>Bưu cục 977 Lê Văn Lương-H.Nhà Bè-HCM</t>
  </si>
  <si>
    <t>Bưu Cục 2 Bis Nguyễn Thị Minh Khai-Q.1-HCM</t>
  </si>
  <si>
    <t>Bưu Cục 1056 Nguyễn Bỉnh Khiêm-Q.Hải An-Hải Phòng</t>
  </si>
  <si>
    <t>Bưu Cục Nông Cống-Thanh Hóa</t>
  </si>
  <si>
    <t>Bưu Cục An Dương 2-Hải Phòng</t>
  </si>
  <si>
    <t>Bưu Cục 09 Hoàng Cầu-Q.Đống Đa-HN</t>
  </si>
  <si>
    <t>Bưu Cục Đại Học Quốc Gia-Thủ Đức-HCM</t>
  </si>
  <si>
    <t>ID</t>
  </si>
  <si>
    <t>SAMPLE</t>
  </si>
  <si>
    <t>Kho Khách hàng lớn Hồ Chí Minh</t>
  </si>
  <si>
    <t>Bưu Cục 05 Lê Công Phép-Q.Bình Tân-HCM</t>
  </si>
  <si>
    <t>Bưu Cục 4 Đường 1 Linh Tây-Q.Thủ Đức-HCM</t>
  </si>
  <si>
    <t>Bưu Cục 456 Nguyễn Kiệm-Q.Phú Nhuận-HCM</t>
  </si>
  <si>
    <t>Bưu cục L11-72 đường 49-Bình Thuỷ-Cần Thơ</t>
  </si>
  <si>
    <t>Bưu Cục 391 Lâm Quang Ky-Rạch Giá-Kiên Giang 01</t>
  </si>
  <si>
    <t>Bưu Cục Ninh Phước-Ninh Thuận</t>
  </si>
  <si>
    <t>Bưu cục 896 Minh Khai-Q.Hai Bà Trưng-HN</t>
  </si>
  <si>
    <t>Bưu Cục Can Lộc-Hà Tĩnh</t>
  </si>
  <si>
    <t>Bưu Cục Tủa Chùa-Điện Biên</t>
  </si>
  <si>
    <t>Bưu Cục Đảo Cát Hải-Hải Phòng</t>
  </si>
  <si>
    <t>Bưu Cục Phú Lộc-TP.Lạng Sơn</t>
  </si>
  <si>
    <t>Bưu Cục 65/1E Trần Văn Mười-Hóc Môn-HCM</t>
  </si>
  <si>
    <t>Bưu Cục Q.4-HCM</t>
  </si>
  <si>
    <t>Bưu Cục Cây Hẹ-Tiểu Cần-Trà Vinh</t>
  </si>
  <si>
    <t>Bưu Cục An Phước-Long Thành-Đồng Nai</t>
  </si>
  <si>
    <t>Bưu cục 176 Gò Dưa-Thủ Đức-HCM</t>
  </si>
  <si>
    <t>Bưu Cục 163 Nguyễn Đình Chiểu-Q.3-HCM</t>
  </si>
  <si>
    <t>Bưu Cục 29D Gò Xoài-Q.Bình Tân-HCM</t>
  </si>
  <si>
    <t>Bưu Cục 370 Lê Hồng Phong-Q.10-HCM</t>
  </si>
  <si>
    <t>Bưu Cục 295F Lý Thường Kiệt-Q.11-HCM</t>
  </si>
  <si>
    <t>Bưu Cục 63 Ký Hòa-Q.5-HCM</t>
  </si>
  <si>
    <t>Bưu Cục 10 Trần Khát Chân-Q.Hai Bà Trưng-HN</t>
  </si>
  <si>
    <t>Intra Metro</t>
  </si>
  <si>
    <t>Intra Metro Suburban 1</t>
  </si>
  <si>
    <t>Intra Metro Suburban 2</t>
  </si>
  <si>
    <t>Same Region Urban</t>
  </si>
  <si>
    <t>Same Region Suburban 1</t>
  </si>
  <si>
    <t>Same Region Suburban 2</t>
  </si>
  <si>
    <t>Near Region Urban</t>
  </si>
  <si>
    <t>Near Region Suburban 1</t>
  </si>
  <si>
    <t>Near Region Suburban 2</t>
  </si>
  <si>
    <t>Special Lane Urban</t>
  </si>
  <si>
    <t>Special Lane Suburban 1</t>
  </si>
  <si>
    <t>Special Lane Suburban 2</t>
  </si>
  <si>
    <t>Far Region Urban</t>
  </si>
  <si>
    <t>Far Region Suburban 1</t>
  </si>
  <si>
    <t>Far Region Suburban 2</t>
  </si>
  <si>
    <t>Special Lane</t>
  </si>
  <si>
    <t>Same Region</t>
  </si>
  <si>
    <t>Near Region</t>
  </si>
  <si>
    <t>Far Region</t>
  </si>
  <si>
    <t>Same Province Urban</t>
  </si>
  <si>
    <t>Intra Metro Urban</t>
  </si>
  <si>
    <t xml:space="preserve">Order Type </t>
  </si>
  <si>
    <t>Thành phố Hà Tiên - Kiên Giang</t>
  </si>
  <si>
    <t>Thành phố Long Khánh - Đồng Nai</t>
  </si>
  <si>
    <t>Huyện Nậm Nhùn - Lai Châu</t>
  </si>
  <si>
    <t>Thị xã Mỹ Hào - Hưng Yên</t>
  </si>
  <si>
    <t>Thị xã Sa Pa - Lào Cai</t>
  </si>
  <si>
    <t>Thành phố Sầm Sơn - Thanh Hóa</t>
  </si>
  <si>
    <t>Huyện Si Ma Cai - Lào Cai</t>
  </si>
  <si>
    <t>Thành phố Phúc Yên - Vĩnh Phúc</t>
  </si>
  <si>
    <t>Thành phố Ngã Bảy - Hậu Giang</t>
  </si>
  <si>
    <t>Thành phố Hồng Ngự - Đồng Tháp</t>
  </si>
  <si>
    <t>Thị xã Đông Triều - Quảng Ninh</t>
  </si>
  <si>
    <t>Thị xã Kinh Môn - Hải Dương</t>
  </si>
  <si>
    <t>Thành phố Hà Tiên</t>
  </si>
  <si>
    <t>Thành phố Long Khánh</t>
  </si>
  <si>
    <t>Huyện Nậm Nhùn</t>
  </si>
  <si>
    <t>Thị xã Mỹ Hào</t>
  </si>
  <si>
    <t>Thị xã Sa Pa</t>
  </si>
  <si>
    <t>Bưu Cục Như Quỳnh-Văn Lâm-Hưng Yên</t>
  </si>
  <si>
    <t>Bưu Cục 126 Hoàng Ngân-Q.Cầu Giấy-HN</t>
  </si>
  <si>
    <t>Huyện Si Ma Cai</t>
  </si>
  <si>
    <t>Thành phố Sầm Sơn</t>
  </si>
  <si>
    <t>Bưu Cục 555 Nguyễn Văn Cừ-Long Biên-HN</t>
  </si>
  <si>
    <t>Bưu Cục Đa Tốn-Gia Lâm-HN</t>
  </si>
  <si>
    <t>Bưu cục 220 - 222 Phan Trọng Tuệ-ThanhTrì-HN</t>
  </si>
  <si>
    <t>Bưu Cục Giang Biên-Long Biên-HN</t>
  </si>
  <si>
    <t>Thành phố Ngã Bảy</t>
  </si>
  <si>
    <t>Bưu Cục 316 Tỉnh Lộ 2-Củ Chi-HCM</t>
  </si>
  <si>
    <t>Bưu Cục 04 Trần Quang Khải-Rạch Giá-Kiên Giang</t>
  </si>
  <si>
    <t>Bưu Cục 654B Quang Trung-Phù Mỹ-Bình Định</t>
  </si>
  <si>
    <t>Bưu Cục 206 Đống Đa-Quy Nhơn-Bình Định</t>
  </si>
  <si>
    <t>Bưu Cục Vân Hà-Đông Anh-HN</t>
  </si>
  <si>
    <t>Thành phố Hồng Ngự</t>
  </si>
  <si>
    <t>Thị xã Đông Triều</t>
  </si>
  <si>
    <t>Thị xã Kinh Môn</t>
  </si>
  <si>
    <t>Thành phố Phúc Yên</t>
  </si>
  <si>
    <t>Bưu cục 753 Lũy Bán Bích-Q.Tân Phú-HCM</t>
  </si>
  <si>
    <t>Bưu cục 148 Trâu Quỳ-Gia Lâm-HN</t>
  </si>
  <si>
    <t>Bưu cục 296 đường Ỷ Lan-Gia Lâm-HN</t>
  </si>
  <si>
    <t>Bưu Cục 58 Đường số 79-Q.7-HCM</t>
  </si>
  <si>
    <t>Bưu cục 05 Lê Công Phép - Bình Tân - HCM</t>
  </si>
  <si>
    <t>Thị Xã Thuận An</t>
  </si>
  <si>
    <t>Bưu cục Thạch Hòa-Thạch Thất-Hà Nội</t>
  </si>
  <si>
    <t>Bưu Cục 38 Bờ Kênh-Đông Anh-HN</t>
  </si>
  <si>
    <t>Bưu Cục Phước Đồng-Nha Trang-Khánh Hòa</t>
  </si>
  <si>
    <t>Thị Xã Đồng Xoài - Bình Phước</t>
  </si>
  <si>
    <t>Thị Xã Đồng Xoài</t>
  </si>
  <si>
    <t>Bưu Cục 425D Tân Kỳ Tân Quý-Q.Tân Phú-HCM</t>
  </si>
  <si>
    <t>Thành phố Dĩ An - Bình Dương</t>
  </si>
  <si>
    <t>Bưu Cục 16A Hòa Mã -Q.Hai Bà Trưng-HN</t>
  </si>
  <si>
    <t>Bưu Cục 245 Phố Đông An Khánh-Hoài Đức-Hà Nội</t>
  </si>
  <si>
    <t>Bưu Cục Nhân Hòa-Mỹ Hào-Hưng Yên</t>
  </si>
  <si>
    <t>Bưu cục 58 Vũ Tông Phan-Q.2-HCM</t>
  </si>
  <si>
    <t>Bưu Cục 39 Gò Sỏi-Sóc Sơn-HN</t>
  </si>
  <si>
    <t>Bưu Cục 893 Quốc Lộ 14-Đồng Xoài-Bình Phước</t>
  </si>
  <si>
    <t>Bưu Cục Quảng Xương-Thanh Hóa</t>
  </si>
  <si>
    <t>Thành phố Dĩ An</t>
  </si>
  <si>
    <t>Bưu Cục 295F Lý Thường Kiệt-Quận 11-HCM</t>
  </si>
  <si>
    <t>Bưu cục 977 Lê Văn Lương-Nhà Bè-HCM</t>
  </si>
  <si>
    <t>Bưu cục 32 đường 3-Q.Bình Tân-HCM</t>
  </si>
  <si>
    <t>Bưu Cục 27 Mười Tháng Ba-Buôn Ma Thuột-Đắk Lắk</t>
  </si>
  <si>
    <t>Bưu Cục 12 A Ma Khê -Buôn Hồ-Đắk Lắk</t>
  </si>
  <si>
    <t>Bưu cục 79 Lê Lợi-Ba Đồn-Quảng Bình</t>
  </si>
  <si>
    <t>Bưu Cục 158 Lê Duẩn Ea Knop-Ea Kar-Đắk Lắk</t>
  </si>
  <si>
    <t>Bưu Cục 39 Gò Sỏi - Sóc Sơn -HN</t>
  </si>
  <si>
    <t>Bưu Cục 18 Bạch Năng Thi-Hải Dương</t>
  </si>
  <si>
    <t>Bưu Cục Xuân Trường-Nam Định</t>
  </si>
  <si>
    <t>Bưu Cục 149 Bà Triệu-Quản Bạ-Hà Giang</t>
  </si>
  <si>
    <t>Bưu Cục Gia Lộc-Hải Dương</t>
  </si>
  <si>
    <t>Huyện Chí Linh</t>
  </si>
  <si>
    <t>Bưu Cục 53 Lãng Yên-Q.Hai Bà Trưng-HN</t>
  </si>
  <si>
    <t>Bưu Cục 117 Hùng Vương-Q.5-HCM</t>
  </si>
  <si>
    <t>Bưu cục 193 Lý Tự Trọng-Thạch Hà-Hà Tĩnh</t>
  </si>
  <si>
    <t>Bưu cục 60 Hùng Vương-Hải Lăng-Quảng Trị</t>
  </si>
  <si>
    <t>Bưu Cục 417 Hồ Chí Minh-Hương Khê-Hà Tĩnh</t>
  </si>
  <si>
    <t>Bưu Cục Ba Hàng Đồi-Lạc Thủy-Hòa Bình</t>
  </si>
  <si>
    <t>Bưu Cục 275 Võ Văn Kiệt-Buôn Ma Thuột-Đắk Lắk</t>
  </si>
  <si>
    <t>Bưu cục Thôn 6-Ba Vì-HN</t>
  </si>
  <si>
    <t>Bưu Cục 1089 Cách Mạng Tháng Tám-Thủ Dầu Một -Bình Dương</t>
  </si>
  <si>
    <t>Bưu Cục Khối 5A-Thanh Chương-Nghệ An</t>
  </si>
  <si>
    <t>Bưu Cục 42 Võ Thị Nhờ-Q.7-HCM</t>
  </si>
  <si>
    <t>Bưu Cục 1017 Huỳnh Tấn Phát-Q.7-HCM</t>
  </si>
  <si>
    <t>Bưu Cục Khối 9-Nghi Lộc-Nghệ An</t>
  </si>
  <si>
    <t>Bưu Cục 47 Nguyễn Xí-Q.Bình Thạnh-HCM</t>
  </si>
  <si>
    <t>Bưu Cục 972 Phạm Văn Đồng-Q.Dương Kinh-Hải Phòng</t>
  </si>
  <si>
    <t>Thành phố Phú Quốc - Kiên Giang</t>
  </si>
  <si>
    <t>Bưu Cục Bình An-DĨ An-Bình Dương</t>
  </si>
  <si>
    <t>Bưu Cục 9 Hồng Bàng-Q.Bình Thạnh-HCM</t>
  </si>
  <si>
    <t>Bưu Cục 306 Lê Duẩn-Thừa Thiên-Huế</t>
  </si>
  <si>
    <t>Bưu Cục 90 Nguyễn Lương Bằng-Kim Động-Hưng Yên</t>
  </si>
  <si>
    <t>Bưu Cục 224 Phùng Hưng-TP.Hòa Bình</t>
  </si>
  <si>
    <t>Bưu Cục Hưng Hà-Thái Bình</t>
  </si>
  <si>
    <t>Bưu Cục 167 Đường 19 Tháng 8-Lai Châu</t>
  </si>
  <si>
    <t>Huyện Sa Pa - Lào Cai</t>
  </si>
  <si>
    <t>Bưu Cục 14 Huỳnh Thúc Kháng-Q.Đống Đa-HN</t>
  </si>
  <si>
    <t>Thành phố Phú Quốc</t>
  </si>
  <si>
    <t>Delivery</t>
  </si>
  <si>
    <t>C-Return</t>
  </si>
  <si>
    <t>System Booking</t>
  </si>
  <si>
    <t>B2C</t>
  </si>
  <si>
    <t>C2C</t>
  </si>
  <si>
    <t>Thời gian giao hàng cam kết</t>
  </si>
  <si>
    <t>Thời gian cam kết trả hàng</t>
  </si>
  <si>
    <t>Thời gian Toàn Trình</t>
  </si>
  <si>
    <t>type (check)</t>
  </si>
  <si>
    <t>Type (Final)</t>
  </si>
  <si>
    <t>Model</t>
  </si>
  <si>
    <t>Type</t>
  </si>
  <si>
    <t>Mã đơn</t>
  </si>
  <si>
    <r>
      <rPr>
        <b/>
        <sz val="11"/>
        <color rgb="FFFF0000"/>
        <rFont val="Calibri"/>
        <family val="2"/>
        <scheme val="minor"/>
      </rPr>
      <t>GTKMP</t>
    </r>
    <r>
      <rPr>
        <sz val="11"/>
        <color theme="1"/>
        <rFont val="Calibri"/>
        <family val="2"/>
        <charset val="163"/>
        <scheme val="minor"/>
      </rPr>
      <t xml:space="preserve"> + </t>
    </r>
    <r>
      <rPr>
        <b/>
        <sz val="11"/>
        <color rgb="FF0070C0"/>
        <rFont val="Calibri"/>
        <family val="2"/>
        <scheme val="minor"/>
      </rPr>
      <t>Mã đơn tiki</t>
    </r>
  </si>
  <si>
    <t>Kho vùng</t>
  </si>
  <si>
    <t>B2C DropShip</t>
  </si>
  <si>
    <t>Kho hàng lớn</t>
  </si>
  <si>
    <t>C2C C-Return</t>
  </si>
  <si>
    <r>
      <rPr>
        <b/>
        <sz val="11"/>
        <color rgb="FFFF0000"/>
        <rFont val="Calibri"/>
        <family val="2"/>
        <scheme val="minor"/>
      </rPr>
      <t>GTKMP</t>
    </r>
    <r>
      <rPr>
        <sz val="11"/>
        <color theme="1"/>
        <rFont val="Calibri"/>
        <family val="2"/>
        <charset val="163"/>
        <scheme val="minor"/>
      </rPr>
      <t xml:space="preserve"> + </t>
    </r>
    <r>
      <rPr>
        <b/>
        <sz val="11"/>
        <color theme="9" tint="-0.249977111117893"/>
        <rFont val="Calibri"/>
        <family val="2"/>
        <scheme val="minor"/>
      </rPr>
      <t>AMSPICK</t>
    </r>
    <r>
      <rPr>
        <sz val="11"/>
        <color theme="1"/>
        <rFont val="Calibri"/>
        <family val="2"/>
        <charset val="163"/>
        <scheme val="minor"/>
      </rPr>
      <t xml:space="preserve"> + </t>
    </r>
    <r>
      <rPr>
        <b/>
        <sz val="11"/>
        <color rgb="FF0070C0"/>
        <rFont val="Calibri"/>
        <family val="2"/>
        <scheme val="minor"/>
      </rPr>
      <t>Mã đơn tiki</t>
    </r>
  </si>
  <si>
    <r>
      <rPr>
        <b/>
        <sz val="11"/>
        <color rgb="FFFF0000"/>
        <rFont val="Calibri"/>
        <family val="2"/>
        <scheme val="minor"/>
      </rPr>
      <t>GHNTK</t>
    </r>
    <r>
      <rPr>
        <sz val="11"/>
        <color theme="1"/>
        <rFont val="Calibri"/>
        <family val="2"/>
        <charset val="163"/>
        <scheme val="minor"/>
      </rPr>
      <t xml:space="preserve"> + </t>
    </r>
    <r>
      <rPr>
        <b/>
        <sz val="11"/>
        <color rgb="FF0070C0"/>
        <rFont val="Calibri"/>
        <family val="2"/>
        <scheme val="minor"/>
      </rPr>
      <t>Mã đơn tiki</t>
    </r>
  </si>
  <si>
    <t>B2C C-Return</t>
  </si>
  <si>
    <r>
      <rPr>
        <b/>
        <sz val="11"/>
        <color rgb="FFFF0000"/>
        <rFont val="Calibri"/>
        <family val="2"/>
        <scheme val="minor"/>
      </rPr>
      <t>GHNTK</t>
    </r>
    <r>
      <rPr>
        <sz val="11"/>
        <color theme="1"/>
        <rFont val="Calibri"/>
        <family val="2"/>
        <charset val="163"/>
        <scheme val="minor"/>
      </rPr>
      <t xml:space="preserve"> + </t>
    </r>
    <r>
      <rPr>
        <b/>
        <sz val="11"/>
        <color theme="9" tint="-0.249977111117893"/>
        <rFont val="Calibri"/>
        <family val="2"/>
        <scheme val="minor"/>
      </rPr>
      <t>AMSPICK</t>
    </r>
    <r>
      <rPr>
        <sz val="11"/>
        <color theme="1"/>
        <rFont val="Calibri"/>
        <family val="2"/>
        <charset val="163"/>
        <scheme val="minor"/>
      </rPr>
      <t xml:space="preserve"> + </t>
    </r>
    <r>
      <rPr>
        <b/>
        <sz val="11"/>
        <color rgb="FF0070C0"/>
        <rFont val="Calibri"/>
        <family val="2"/>
        <scheme val="minor"/>
      </rPr>
      <t>Mã đơn tiki</t>
    </r>
  </si>
  <si>
    <t>System booking</t>
  </si>
  <si>
    <t>2590595 &amp; 1367</t>
  </si>
  <si>
    <t>Số còn lại</t>
  </si>
  <si>
    <t>C2C Dropship</t>
  </si>
  <si>
    <t>B2C Non - Dropship</t>
  </si>
  <si>
    <t>Bưu cục 125 Hùng Vương-Bố Trạch-Quảng Bình</t>
  </si>
  <si>
    <t>Bưu cục 78 Đường số 4-Q.7-HCM</t>
  </si>
  <si>
    <t>Bưu Cục 663 Đường 23/10-Nha Trang-Khánh Hoà</t>
  </si>
  <si>
    <t>Bưu Cục Tổ Dân Phố Yên Tập-Mỹ Hào-Hưng Yên</t>
  </si>
  <si>
    <t>Bưu Cục 321 Ngọc Hồi-Thanh Trì-Hà Nội</t>
  </si>
  <si>
    <t>Bưu cục Ngọc Hồi-Thanh Trì-HN</t>
  </si>
  <si>
    <t>Bưu Cục Thôn Xuân Bách-Sóc Sơn-Hà Nội</t>
  </si>
  <si>
    <t>Bưu Cục 443 Cao Lỗ-Đông Anh-Hà Nội</t>
  </si>
  <si>
    <t>Bưu Cục Chợ Cống-Chương Mỹ-Hà Nội</t>
  </si>
  <si>
    <t>Bưu Cục 106 Quang Trung-Đại Lộc-Quảng Nam</t>
  </si>
  <si>
    <t>INDEX('Bảng giá '!$A$2:$I$20,MATCH(AF3,'Bảng giá '!$A$2:$A$20,0),MATCH(MIN(CEILING(AL3,0.5),3),'Bảng giá '!$A$2:$I$2,0))+MAX(CEILING(AL3,0.5)-3,0)/0.5*VLOOKUP(AF3,'Bảng giá '!$A$2:$I$20,8,0)</t>
  </si>
  <si>
    <t>index('Bảng giá '!A2:I20,match(AUGUST!AF4,'Bảng giá '!A3:A20,0),match((min(ceiling(AUGUST!AG4,0.5),0),'Bảng giá '!A2:I2,0)+max(ceiling(AUGUST!AG4,0.5)-3,0)/0.5*vlookup(AUGUST!AF4,'Bảng giá '!A2:I20,8,0)))</t>
  </si>
  <si>
    <t>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</si>
</sst>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_₫_-;\-* #,##0.00\ _₫_-;_-* &quot;-&quot;??\ _₫_-;_-@_-"/>
    <numFmt numFmtId="165" formatCode="_-* #,##0\ _₫_-;\-* #,##0\ _₫_-;_-* &quot;-&quot;??\ _₫_-;_-@_-"/>
    <numFmt numFmtId="166" formatCode="m/d/yy\ h:mm;@"/>
    <numFmt numFmtId="167" formatCode="0;[Red]0"/>
    <numFmt numFmtId="168" formatCode="yyyymmm"/>
    <numFmt numFmtId="169" formatCode="_-* #,##0.00_-;\-* #,##0.00_-;_-* &quot;-&quot;??_-;_-@_-"/>
  </numFmts>
  <fonts count="40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9"/>
      <color theme="1"/>
      <name val="Tahoma"/>
      <family val="2"/>
    </font>
    <font>
      <b/>
      <sz val="9"/>
      <color theme="1"/>
      <name val="Tahoma"/>
      <family val="2"/>
    </font>
    <font>
      <b/>
      <sz val="9"/>
      <color theme="0"/>
      <name val="Tahoma"/>
      <family val="2"/>
    </font>
    <font>
      <b/>
      <sz val="9"/>
      <color rgb="FFFF0000"/>
      <name val="Tahoma"/>
      <family val="2"/>
    </font>
    <font>
      <b/>
      <sz val="9"/>
      <name val="Tahoma"/>
      <family val="2"/>
    </font>
    <font>
      <sz val="9"/>
      <color rgb="FFFF0000"/>
      <name val="Tahoma"/>
      <family val="2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10"/>
      <color rgb="FFFF0000"/>
      <name val="Tahoma"/>
      <family val="2"/>
    </font>
    <font>
      <sz val="10"/>
      <color theme="1"/>
      <name val="Tahoma"/>
      <family val="2"/>
    </font>
    <font>
      <b/>
      <sz val="9"/>
      <color rgb="FFFFFF00"/>
      <name val="Tahoma"/>
      <family val="2"/>
    </font>
    <font>
      <sz val="11"/>
      <color rgb="FF505050"/>
      <name val="Arial"/>
      <family val="2"/>
    </font>
    <font>
      <sz val="11"/>
      <color rgb="FF505050"/>
      <name val="Arial"/>
      <family val="2"/>
    </font>
    <font>
      <sz val="11"/>
      <color theme="1"/>
      <name val="Tahoma"/>
      <family val="2"/>
    </font>
    <font>
      <sz val="11"/>
      <color theme="1"/>
      <name val="Calibri"/>
      <family val="2"/>
      <charset val="163"/>
    </font>
    <font>
      <b/>
      <sz val="10"/>
      <color rgb="FF000000"/>
      <name val="Calibri"/>
      <family val="2"/>
    </font>
    <font>
      <b/>
      <sz val="10"/>
      <color rgb="FF262626"/>
      <name val="Arial"/>
      <family val="2"/>
    </font>
    <font>
      <sz val="11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FF00"/>
      <name val="Cambria"/>
      <family val="1"/>
    </font>
    <font>
      <b/>
      <sz val="11"/>
      <color theme="0"/>
      <name val="Cambria"/>
      <family val="1"/>
    </font>
    <font>
      <sz val="11"/>
      <color theme="1"/>
      <name val="Cambria"/>
      <family val="1"/>
    </font>
    <font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9">
    <xf numFmtId="0" fontId="0" fillId="0" borderId="0"/>
    <xf numFmtId="164" fontId="9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16" fillId="5" borderId="0" applyNumberFormat="0" applyBorder="0" applyAlignment="0" applyProtection="0"/>
    <xf numFmtId="0" fontId="17" fillId="6" borderId="0" applyNumberFormat="0" applyBorder="0" applyAlignment="0" applyProtection="0"/>
    <xf numFmtId="0" fontId="7" fillId="0" borderId="0"/>
    <xf numFmtId="0" fontId="6" fillId="0" borderId="0"/>
    <xf numFmtId="169" fontId="6" fillId="0" borderId="0" applyFont="0" applyFill="0" applyBorder="0" applyAlignment="0" applyProtection="0"/>
    <xf numFmtId="0" fontId="5" fillId="0" borderId="0"/>
    <xf numFmtId="0" fontId="2" fillId="0" borderId="0"/>
    <xf numFmtId="0" fontId="9" fillId="0" borderId="0"/>
    <xf numFmtId="164" fontId="9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2" fillId="0" borderId="0"/>
    <xf numFmtId="9" fontId="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</cellStyleXfs>
  <cellXfs count="201">
    <xf numFmtId="0" fontId="0" fillId="0" borderId="0" xfId="0"/>
    <xf numFmtId="165" fontId="10" fillId="0" borderId="0" xfId="1" applyNumberFormat="1" applyFont="1" applyBorder="1"/>
    <xf numFmtId="165" fontId="13" fillId="2" borderId="3" xfId="1" applyNumberFormat="1" applyFont="1" applyFill="1" applyBorder="1" applyAlignment="1">
      <alignment horizontal="center" vertical="center" wrapText="1"/>
    </xf>
    <xf numFmtId="165" fontId="14" fillId="2" borderId="3" xfId="1" applyNumberFormat="1" applyFont="1" applyFill="1" applyBorder="1" applyAlignment="1">
      <alignment horizontal="center" vertical="center" wrapText="1"/>
    </xf>
    <xf numFmtId="165" fontId="14" fillId="0" borderId="3" xfId="1" applyNumberFormat="1" applyFont="1" applyFill="1" applyBorder="1" applyAlignment="1">
      <alignment horizontal="center" vertical="center" wrapText="1"/>
    </xf>
    <xf numFmtId="165" fontId="12" fillId="3" borderId="3" xfId="1" applyNumberFormat="1" applyFont="1" applyFill="1" applyBorder="1" applyAlignment="1">
      <alignment horizontal="center" vertical="center" wrapText="1"/>
    </xf>
    <xf numFmtId="165" fontId="12" fillId="3" borderId="4" xfId="1" applyNumberFormat="1" applyFont="1" applyFill="1" applyBorder="1" applyAlignment="1">
      <alignment horizontal="center" vertical="center" wrapText="1"/>
    </xf>
    <xf numFmtId="167" fontId="14" fillId="2" borderId="2" xfId="1" applyNumberFormat="1" applyFont="1" applyFill="1" applyBorder="1" applyAlignment="1">
      <alignment horizontal="center" vertical="center" wrapText="1"/>
    </xf>
    <xf numFmtId="166" fontId="14" fillId="2" borderId="3" xfId="1" applyNumberFormat="1" applyFont="1" applyFill="1" applyBorder="1" applyAlignment="1">
      <alignment horizontal="center" vertical="center" wrapText="1"/>
    </xf>
    <xf numFmtId="1" fontId="14" fillId="2" borderId="3" xfId="1" applyNumberFormat="1" applyFont="1" applyFill="1" applyBorder="1" applyAlignment="1">
      <alignment horizontal="center" vertical="center" wrapText="1"/>
    </xf>
    <xf numFmtId="165" fontId="14" fillId="4" borderId="3" xfId="1" applyNumberFormat="1" applyFont="1" applyFill="1" applyBorder="1" applyAlignment="1">
      <alignment horizontal="center" vertical="center" wrapText="1"/>
    </xf>
    <xf numFmtId="165" fontId="11" fillId="0" borderId="3" xfId="1" applyNumberFormat="1" applyFont="1" applyBorder="1" applyAlignment="1">
      <alignment horizontal="center"/>
    </xf>
    <xf numFmtId="165" fontId="11" fillId="0" borderId="3" xfId="1" applyNumberFormat="1" applyFont="1" applyFill="1" applyBorder="1" applyAlignment="1">
      <alignment horizontal="center"/>
    </xf>
    <xf numFmtId="165" fontId="10" fillId="0" borderId="0" xfId="1" applyNumberFormat="1" applyFont="1" applyBorder="1" applyAlignment="1">
      <alignment horizontal="center"/>
    </xf>
    <xf numFmtId="167" fontId="10" fillId="0" borderId="5" xfId="1" applyNumberFormat="1" applyFont="1" applyBorder="1" applyAlignment="1">
      <alignment horizontal="center"/>
    </xf>
    <xf numFmtId="166" fontId="10" fillId="0" borderId="6" xfId="1" applyNumberFormat="1" applyFont="1" applyBorder="1"/>
    <xf numFmtId="1" fontId="10" fillId="0" borderId="6" xfId="1" applyNumberFormat="1" applyFont="1" applyBorder="1" applyAlignment="1">
      <alignment horizontal="left"/>
    </xf>
    <xf numFmtId="165" fontId="10" fillId="0" borderId="6" xfId="1" applyNumberFormat="1" applyFont="1" applyBorder="1"/>
    <xf numFmtId="165" fontId="15" fillId="0" borderId="6" xfId="1" applyNumberFormat="1" applyFont="1" applyBorder="1" applyAlignment="1"/>
    <xf numFmtId="165" fontId="15" fillId="0" borderId="6" xfId="1" applyNumberFormat="1" applyFont="1" applyFill="1" applyBorder="1" applyAlignment="1"/>
    <xf numFmtId="165" fontId="10" fillId="0" borderId="6" xfId="1" applyNumberFormat="1" applyFont="1" applyBorder="1" applyAlignment="1">
      <alignment horizontal="left"/>
    </xf>
    <xf numFmtId="165" fontId="10" fillId="0" borderId="6" xfId="1" applyNumberFormat="1" applyFont="1" applyBorder="1" applyAlignment="1">
      <alignment horizontal="right"/>
    </xf>
    <xf numFmtId="165" fontId="10" fillId="0" borderId="7" xfId="1" applyNumberFormat="1" applyFont="1" applyBorder="1"/>
    <xf numFmtId="0" fontId="5" fillId="0" borderId="0" xfId="9"/>
    <xf numFmtId="0" fontId="19" fillId="0" borderId="1" xfId="9" applyFont="1" applyBorder="1"/>
    <xf numFmtId="0" fontId="5" fillId="0" borderId="1" xfId="9" applyBorder="1"/>
    <xf numFmtId="0" fontId="4" fillId="0" borderId="1" xfId="9" applyFont="1" applyBorder="1"/>
    <xf numFmtId="0" fontId="3" fillId="0" borderId="1" xfId="9" applyFont="1" applyBorder="1"/>
    <xf numFmtId="0" fontId="3" fillId="0" borderId="0" xfId="9" applyFont="1"/>
    <xf numFmtId="165" fontId="18" fillId="0" borderId="0" xfId="1" applyNumberFormat="1" applyFont="1" applyFill="1" applyBorder="1" applyAlignment="1">
      <alignment vertical="center"/>
    </xf>
    <xf numFmtId="0" fontId="10" fillId="8" borderId="0" xfId="2" applyFont="1" applyFill="1" applyAlignment="1">
      <alignment horizontal="center" vertical="center" wrapText="1"/>
    </xf>
    <xf numFmtId="0" fontId="12" fillId="8" borderId="2" xfId="2" applyFont="1" applyFill="1" applyBorder="1" applyAlignment="1">
      <alignment horizontal="center" vertical="center" wrapText="1"/>
    </xf>
    <xf numFmtId="0" fontId="12" fillId="8" borderId="3" xfId="2" applyFont="1" applyFill="1" applyBorder="1" applyAlignment="1">
      <alignment horizontal="center" vertical="center" wrapText="1"/>
    </xf>
    <xf numFmtId="0" fontId="12" fillId="8" borderId="4" xfId="2" applyFont="1" applyFill="1" applyBorder="1" applyAlignment="1">
      <alignment horizontal="center" vertical="center" wrapText="1"/>
    </xf>
    <xf numFmtId="0" fontId="24" fillId="8" borderId="2" xfId="2" applyFont="1" applyFill="1" applyBorder="1" applyAlignment="1">
      <alignment horizontal="center" vertical="center" wrapText="1"/>
    </xf>
    <xf numFmtId="0" fontId="24" fillId="8" borderId="4" xfId="2" applyFont="1" applyFill="1" applyBorder="1" applyAlignment="1">
      <alignment horizontal="center" vertical="center" wrapText="1"/>
    </xf>
    <xf numFmtId="0" fontId="24" fillId="8" borderId="3" xfId="2" applyFont="1" applyFill="1" applyBorder="1" applyAlignment="1">
      <alignment horizontal="center" vertical="center" wrapText="1"/>
    </xf>
    <xf numFmtId="165" fontId="12" fillId="8" borderId="6" xfId="1" applyNumberFormat="1" applyFont="1" applyFill="1" applyBorder="1" applyAlignment="1">
      <alignment horizontal="center" vertical="center" wrapText="1"/>
    </xf>
    <xf numFmtId="165" fontId="12" fillId="8" borderId="7" xfId="1" applyNumberFormat="1" applyFont="1" applyFill="1" applyBorder="1" applyAlignment="1">
      <alignment horizontal="center" vertical="center" wrapText="1"/>
    </xf>
    <xf numFmtId="0" fontId="10" fillId="0" borderId="0" xfId="2" applyFont="1" applyAlignment="1">
      <alignment vertical="center" wrapText="1"/>
    </xf>
    <xf numFmtId="0" fontId="10" fillId="0" borderId="5" xfId="0" applyFont="1" applyBorder="1"/>
    <xf numFmtId="0" fontId="10" fillId="0" borderId="6" xfId="0" applyFont="1" applyBorder="1"/>
    <xf numFmtId="0" fontId="10" fillId="0" borderId="7" xfId="0" applyFont="1" applyBorder="1"/>
    <xf numFmtId="0" fontId="10" fillId="0" borderId="5" xfId="2" applyFont="1" applyBorder="1" applyAlignment="1">
      <alignment vertical="center" wrapText="1"/>
    </xf>
    <xf numFmtId="0" fontId="10" fillId="0" borderId="7" xfId="2" applyFont="1" applyBorder="1" applyAlignment="1">
      <alignment vertical="center" wrapText="1"/>
    </xf>
    <xf numFmtId="0" fontId="10" fillId="0" borderId="6" xfId="2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165" fontId="10" fillId="0" borderId="6" xfId="1" applyNumberFormat="1" applyFont="1" applyBorder="1" applyAlignment="1">
      <alignment horizontal="center" vertical="center" wrapText="1"/>
    </xf>
    <xf numFmtId="165" fontId="10" fillId="0" borderId="7" xfId="1" applyNumberFormat="1" applyFont="1" applyBorder="1" applyAlignment="1">
      <alignment horizontal="center" vertical="center" wrapText="1"/>
    </xf>
    <xf numFmtId="165" fontId="10" fillId="0" borderId="6" xfId="1" applyNumberFormat="1" applyFont="1" applyFill="1" applyBorder="1" applyAlignment="1">
      <alignment horizontal="center" vertical="center" wrapText="1"/>
    </xf>
    <xf numFmtId="165" fontId="10" fillId="0" borderId="7" xfId="1" applyNumberFormat="1" applyFont="1" applyFill="1" applyBorder="1" applyAlignment="1">
      <alignment horizontal="center" vertical="center" wrapText="1"/>
    </xf>
    <xf numFmtId="165" fontId="10" fillId="0" borderId="8" xfId="1" applyNumberFormat="1" applyFont="1" applyBorder="1" applyAlignment="1">
      <alignment horizontal="center" vertical="center" wrapText="1"/>
    </xf>
    <xf numFmtId="165" fontId="10" fillId="0" borderId="9" xfId="1" applyNumberFormat="1" applyFont="1" applyBorder="1" applyAlignment="1">
      <alignment horizontal="center" vertical="center" wrapText="1"/>
    </xf>
    <xf numFmtId="165" fontId="10" fillId="0" borderId="0" xfId="1" applyNumberFormat="1" applyFont="1" applyAlignment="1">
      <alignment vertical="center" wrapText="1"/>
    </xf>
    <xf numFmtId="165" fontId="10" fillId="0" borderId="0" xfId="1" applyNumberFormat="1" applyFont="1" applyAlignment="1">
      <alignment horizontal="center" vertical="center" wrapText="1"/>
    </xf>
    <xf numFmtId="0" fontId="12" fillId="8" borderId="5" xfId="2" applyFont="1" applyFill="1" applyBorder="1" applyAlignment="1">
      <alignment horizontal="center" vertical="center" wrapText="1"/>
    </xf>
    <xf numFmtId="0" fontId="12" fillId="8" borderId="10" xfId="2" applyFont="1" applyFill="1" applyBorder="1" applyAlignment="1">
      <alignment horizontal="center" vertical="center" wrapText="1"/>
    </xf>
    <xf numFmtId="165" fontId="24" fillId="8" borderId="3" xfId="1" applyNumberFormat="1" applyFont="1" applyFill="1" applyBorder="1" applyAlignment="1">
      <alignment horizontal="center" vertical="center" wrapText="1"/>
    </xf>
    <xf numFmtId="165" fontId="24" fillId="8" borderId="4" xfId="1" applyNumberFormat="1" applyFont="1" applyFill="1" applyBorder="1" applyAlignment="1">
      <alignment horizontal="center" vertical="center" wrapText="1"/>
    </xf>
    <xf numFmtId="165" fontId="10" fillId="0" borderId="6" xfId="1" applyNumberFormat="1" applyFont="1" applyBorder="1" applyAlignment="1">
      <alignment vertical="center" wrapText="1"/>
    </xf>
    <xf numFmtId="165" fontId="10" fillId="0" borderId="7" xfId="1" applyNumberFormat="1" applyFont="1" applyBorder="1" applyAlignment="1">
      <alignment vertical="center" wrapText="1"/>
    </xf>
    <xf numFmtId="165" fontId="12" fillId="8" borderId="5" xfId="1" applyNumberFormat="1" applyFont="1" applyFill="1" applyBorder="1" applyAlignment="1">
      <alignment horizontal="center" vertical="center" wrapText="1"/>
    </xf>
    <xf numFmtId="165" fontId="10" fillId="0" borderId="5" xfId="1" applyNumberFormat="1" applyFont="1" applyBorder="1" applyAlignment="1">
      <alignment horizontal="center" vertical="center" wrapText="1"/>
    </xf>
    <xf numFmtId="165" fontId="10" fillId="0" borderId="5" xfId="1" applyNumberFormat="1" applyFont="1" applyFill="1" applyBorder="1" applyAlignment="1">
      <alignment horizontal="center" vertical="center" wrapText="1"/>
    </xf>
    <xf numFmtId="165" fontId="10" fillId="0" borderId="6" xfId="1" applyNumberFormat="1" applyFont="1" applyFill="1" applyBorder="1" applyAlignment="1">
      <alignment vertical="center" wrapText="1"/>
    </xf>
    <xf numFmtId="165" fontId="10" fillId="0" borderId="10" xfId="1" applyNumberFormat="1" applyFont="1" applyBorder="1" applyAlignment="1">
      <alignment horizontal="center" vertical="center" wrapText="1"/>
    </xf>
    <xf numFmtId="0" fontId="10" fillId="0" borderId="10" xfId="2" applyFont="1" applyBorder="1" applyAlignment="1">
      <alignment vertical="center" wrapText="1"/>
    </xf>
    <xf numFmtId="165" fontId="10" fillId="0" borderId="8" xfId="1" applyNumberFormat="1" applyFont="1" applyBorder="1" applyAlignment="1">
      <alignment vertical="center" wrapText="1"/>
    </xf>
    <xf numFmtId="165" fontId="10" fillId="0" borderId="8" xfId="1" applyNumberFormat="1" applyFont="1" applyFill="1" applyBorder="1" applyAlignment="1">
      <alignment vertical="center" wrapText="1"/>
    </xf>
    <xf numFmtId="165" fontId="10" fillId="0" borderId="9" xfId="1" applyNumberFormat="1" applyFont="1" applyBorder="1" applyAlignment="1">
      <alignment vertical="center" wrapText="1"/>
    </xf>
    <xf numFmtId="0" fontId="10" fillId="0" borderId="9" xfId="2" applyFont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8" xfId="2" applyFont="1" applyBorder="1" applyAlignment="1">
      <alignment vertical="center" wrapText="1"/>
    </xf>
    <xf numFmtId="0" fontId="10" fillId="0" borderId="13" xfId="2" applyFont="1" applyBorder="1" applyAlignment="1">
      <alignment vertical="center" wrapText="1"/>
    </xf>
    <xf numFmtId="0" fontId="10" fillId="0" borderId="14" xfId="2" applyFont="1" applyBorder="1" applyAlignment="1">
      <alignment vertical="center" wrapText="1"/>
    </xf>
    <xf numFmtId="0" fontId="10" fillId="0" borderId="15" xfId="2" applyFont="1" applyBorder="1" applyAlignment="1">
      <alignment vertical="center" wrapText="1"/>
    </xf>
    <xf numFmtId="0" fontId="10" fillId="0" borderId="10" xfId="0" applyFont="1" applyBorder="1"/>
    <xf numFmtId="0" fontId="10" fillId="0" borderId="8" xfId="0" applyFont="1" applyBorder="1"/>
    <xf numFmtId="0" fontId="10" fillId="0" borderId="9" xfId="0" applyFont="1" applyBorder="1"/>
    <xf numFmtId="0" fontId="14" fillId="7" borderId="5" xfId="2" applyFont="1" applyFill="1" applyBorder="1" applyAlignment="1">
      <alignment horizontal="left" vertical="center" wrapText="1"/>
    </xf>
    <xf numFmtId="0" fontId="25" fillId="0" borderId="0" xfId="0" applyFont="1"/>
    <xf numFmtId="0" fontId="26" fillId="0" borderId="0" xfId="0" applyFont="1" applyAlignment="1">
      <alignment horizontal="left" vertical="center" wrapText="1" indent="1"/>
    </xf>
    <xf numFmtId="1" fontId="20" fillId="0" borderId="0" xfId="1" applyNumberFormat="1" applyFont="1" applyFill="1" applyBorder="1" applyAlignment="1">
      <alignment horizontal="left" vertical="center"/>
    </xf>
    <xf numFmtId="166" fontId="20" fillId="0" borderId="0" xfId="1" applyNumberFormat="1" applyFont="1" applyFill="1" applyBorder="1" applyAlignment="1">
      <alignment vertical="center"/>
    </xf>
    <xf numFmtId="164" fontId="20" fillId="0" borderId="0" xfId="1" applyFont="1" applyFill="1" applyBorder="1" applyAlignment="1">
      <alignment horizontal="center" vertical="center"/>
    </xf>
    <xf numFmtId="164" fontId="20" fillId="0" borderId="0" xfId="1" applyFont="1" applyFill="1" applyBorder="1" applyAlignment="1">
      <alignment vertical="center"/>
    </xf>
    <xf numFmtId="165" fontId="20" fillId="0" borderId="0" xfId="1" applyNumberFormat="1" applyFont="1" applyFill="1" applyBorder="1" applyAlignment="1">
      <alignment vertical="center"/>
    </xf>
    <xf numFmtId="165" fontId="22" fillId="0" borderId="0" xfId="1" applyNumberFormat="1" applyFont="1" applyFill="1" applyBorder="1" applyAlignment="1">
      <alignment vertical="center"/>
    </xf>
    <xf numFmtId="165" fontId="21" fillId="7" borderId="0" xfId="1" applyNumberFormat="1" applyFont="1" applyFill="1" applyBorder="1" applyAlignment="1">
      <alignment horizontal="left" vertical="center"/>
    </xf>
    <xf numFmtId="168" fontId="21" fillId="7" borderId="0" xfId="1" applyNumberFormat="1" applyFont="1" applyFill="1" applyBorder="1" applyAlignment="1">
      <alignment horizontal="center" vertical="center"/>
    </xf>
    <xf numFmtId="166" fontId="21" fillId="7" borderId="0" xfId="1" applyNumberFormat="1" applyFont="1" applyFill="1" applyBorder="1" applyAlignment="1">
      <alignment horizontal="center" vertical="center"/>
    </xf>
    <xf numFmtId="14" fontId="21" fillId="7" borderId="0" xfId="1" applyNumberFormat="1" applyFont="1" applyFill="1" applyBorder="1" applyAlignment="1">
      <alignment horizontal="left" vertical="center"/>
    </xf>
    <xf numFmtId="14" fontId="21" fillId="7" borderId="0" xfId="1" applyNumberFormat="1" applyFont="1" applyFill="1" applyBorder="1" applyAlignment="1">
      <alignment horizontal="center" vertical="center"/>
    </xf>
    <xf numFmtId="166" fontId="21" fillId="7" borderId="0" xfId="1" applyNumberFormat="1" applyFont="1" applyFill="1" applyBorder="1" applyAlignment="1">
      <alignment vertical="center"/>
    </xf>
    <xf numFmtId="1" fontId="21" fillId="7" borderId="0" xfId="1" applyNumberFormat="1" applyFont="1" applyFill="1" applyBorder="1" applyAlignment="1">
      <alignment horizontal="left" vertical="center"/>
    </xf>
    <xf numFmtId="165" fontId="21" fillId="7" borderId="0" xfId="1" applyNumberFormat="1" applyFont="1" applyFill="1" applyBorder="1" applyAlignment="1">
      <alignment vertical="center"/>
    </xf>
    <xf numFmtId="165" fontId="21" fillId="7" borderId="0" xfId="1" applyNumberFormat="1" applyFont="1" applyFill="1" applyBorder="1" applyAlignment="1">
      <alignment horizontal="center" vertical="center"/>
    </xf>
    <xf numFmtId="0" fontId="21" fillId="7" borderId="0" xfId="1" applyNumberFormat="1" applyFont="1" applyFill="1" applyBorder="1" applyAlignment="1">
      <alignment vertical="center"/>
    </xf>
    <xf numFmtId="164" fontId="21" fillId="7" borderId="0" xfId="1" applyFont="1" applyFill="1" applyBorder="1" applyAlignment="1">
      <alignment vertical="center"/>
    </xf>
    <xf numFmtId="164" fontId="21" fillId="7" borderId="0" xfId="1" applyFont="1" applyFill="1" applyBorder="1" applyAlignment="1">
      <alignment horizontal="center" vertical="center"/>
    </xf>
    <xf numFmtId="168" fontId="20" fillId="0" borderId="0" xfId="1" applyNumberFormat="1" applyFont="1" applyFill="1" applyBorder="1" applyAlignment="1">
      <alignment horizontal="center" vertical="center"/>
    </xf>
    <xf numFmtId="166" fontId="20" fillId="0" borderId="0" xfId="1" applyNumberFormat="1" applyFont="1" applyFill="1" applyBorder="1" applyAlignment="1">
      <alignment horizontal="center" vertical="center"/>
    </xf>
    <xf numFmtId="14" fontId="20" fillId="0" borderId="0" xfId="1" applyNumberFormat="1" applyFont="1" applyFill="1" applyBorder="1" applyAlignment="1">
      <alignment horizontal="left" vertical="center"/>
    </xf>
    <xf numFmtId="14" fontId="20" fillId="0" borderId="0" xfId="1" applyNumberFormat="1" applyFont="1" applyFill="1" applyBorder="1" applyAlignment="1">
      <alignment horizontal="center" vertical="center"/>
    </xf>
    <xf numFmtId="165" fontId="20" fillId="0" borderId="0" xfId="1" applyNumberFormat="1" applyFont="1" applyFill="1" applyBorder="1" applyAlignment="1">
      <alignment horizontal="left" vertical="center"/>
    </xf>
    <xf numFmtId="165" fontId="20" fillId="0" borderId="0" xfId="1" applyNumberFormat="1" applyFont="1" applyFill="1" applyBorder="1" applyAlignment="1">
      <alignment horizontal="center" vertical="center"/>
    </xf>
    <xf numFmtId="0" fontId="20" fillId="0" borderId="0" xfId="1" applyNumberFormat="1" applyFont="1" applyFill="1" applyBorder="1" applyAlignment="1">
      <alignment vertical="center"/>
    </xf>
    <xf numFmtId="9" fontId="10" fillId="0" borderId="7" xfId="19" applyFont="1" applyBorder="1" applyAlignment="1">
      <alignment horizontal="center" vertical="center" wrapText="1"/>
    </xf>
    <xf numFmtId="0" fontId="28" fillId="7" borderId="17" xfId="0" applyFont="1" applyFill="1" applyBorder="1"/>
    <xf numFmtId="0" fontId="29" fillId="0" borderId="5" xfId="0" applyFont="1" applyBorder="1" applyAlignment="1">
      <alignment horizontal="left" vertical="center" wrapText="1"/>
    </xf>
    <xf numFmtId="0" fontId="24" fillId="8" borderId="18" xfId="2" applyFont="1" applyFill="1" applyBorder="1" applyAlignment="1">
      <alignment horizontal="center" vertical="center" wrapText="1"/>
    </xf>
    <xf numFmtId="165" fontId="12" fillId="8" borderId="19" xfId="1" applyNumberFormat="1" applyFont="1" applyFill="1" applyBorder="1" applyAlignment="1">
      <alignment horizontal="center" vertical="center" wrapText="1"/>
    </xf>
    <xf numFmtId="165" fontId="12" fillId="8" borderId="20" xfId="1" applyNumberFormat="1" applyFont="1" applyFill="1" applyBorder="1" applyAlignment="1">
      <alignment horizontal="center" vertical="center" wrapText="1"/>
    </xf>
    <xf numFmtId="0" fontId="30" fillId="0" borderId="3" xfId="0" applyFont="1" applyBorder="1"/>
    <xf numFmtId="0" fontId="30" fillId="0" borderId="4" xfId="0" applyFont="1" applyBorder="1"/>
    <xf numFmtId="0" fontId="30" fillId="0" borderId="6" xfId="0" applyFont="1" applyBorder="1"/>
    <xf numFmtId="0" fontId="30" fillId="0" borderId="7" xfId="0" applyFont="1" applyBorder="1"/>
    <xf numFmtId="0" fontId="30" fillId="0" borderId="8" xfId="0" applyFont="1" applyBorder="1"/>
    <xf numFmtId="0" fontId="30" fillId="0" borderId="9" xfId="0" applyFont="1" applyBorder="1"/>
    <xf numFmtId="1" fontId="21" fillId="9" borderId="2" xfId="0" applyNumberFormat="1" applyFont="1" applyFill="1" applyBorder="1" applyAlignment="1">
      <alignment horizontal="center" vertical="center" wrapText="1"/>
    </xf>
    <xf numFmtId="168" fontId="21" fillId="9" borderId="3" xfId="0" applyNumberFormat="1" applyFont="1" applyFill="1" applyBorder="1" applyAlignment="1">
      <alignment horizontal="center" vertical="center" wrapText="1"/>
    </xf>
    <xf numFmtId="0" fontId="21" fillId="9" borderId="3" xfId="0" applyFont="1" applyFill="1" applyBorder="1" applyAlignment="1">
      <alignment horizontal="center" vertical="center" wrapText="1"/>
    </xf>
    <xf numFmtId="14" fontId="21" fillId="9" borderId="3" xfId="0" applyNumberFormat="1" applyFont="1" applyFill="1" applyBorder="1" applyAlignment="1">
      <alignment horizontal="left" vertical="center" wrapText="1"/>
    </xf>
    <xf numFmtId="14" fontId="21" fillId="11" borderId="3" xfId="0" applyNumberFormat="1" applyFont="1" applyFill="1" applyBorder="1" applyAlignment="1">
      <alignment horizontal="center" vertical="center" wrapText="1"/>
    </xf>
    <xf numFmtId="166" fontId="21" fillId="9" borderId="3" xfId="0" applyNumberFormat="1" applyFont="1" applyFill="1" applyBorder="1" applyAlignment="1">
      <alignment vertical="center" wrapText="1"/>
    </xf>
    <xf numFmtId="1" fontId="21" fillId="9" borderId="3" xfId="0" applyNumberFormat="1" applyFont="1" applyFill="1" applyBorder="1" applyAlignment="1">
      <alignment horizontal="center" vertical="center" wrapText="1"/>
    </xf>
    <xf numFmtId="164" fontId="21" fillId="9" borderId="3" xfId="1" applyFont="1" applyFill="1" applyBorder="1" applyAlignment="1">
      <alignment horizontal="center" vertical="center" wrapText="1"/>
    </xf>
    <xf numFmtId="14" fontId="21" fillId="9" borderId="3" xfId="1" applyNumberFormat="1" applyFont="1" applyFill="1" applyBorder="1" applyAlignment="1">
      <alignment horizontal="center" vertical="center" wrapText="1"/>
    </xf>
    <xf numFmtId="165" fontId="21" fillId="9" borderId="3" xfId="1" applyNumberFormat="1" applyFont="1" applyFill="1" applyBorder="1" applyAlignment="1">
      <alignment horizontal="center" vertical="center" wrapText="1"/>
    </xf>
    <xf numFmtId="0" fontId="21" fillId="9" borderId="3" xfId="4" applyNumberFormat="1" applyFont="1" applyFill="1" applyBorder="1" applyAlignment="1">
      <alignment horizontal="center" vertical="center" wrapText="1"/>
    </xf>
    <xf numFmtId="0" fontId="21" fillId="10" borderId="3" xfId="4" applyFont="1" applyFill="1" applyBorder="1" applyAlignment="1">
      <alignment horizontal="left" vertical="center" wrapText="1"/>
    </xf>
    <xf numFmtId="0" fontId="21" fillId="10" borderId="3" xfId="4" applyFont="1" applyFill="1" applyBorder="1" applyAlignment="1">
      <alignment horizontal="center" vertical="center" wrapText="1"/>
    </xf>
    <xf numFmtId="0" fontId="21" fillId="9" borderId="3" xfId="5" applyFont="1" applyFill="1" applyBorder="1" applyAlignment="1">
      <alignment horizontal="center" vertical="center" wrapText="1"/>
    </xf>
    <xf numFmtId="0" fontId="21" fillId="10" borderId="3" xfId="5" applyFont="1" applyFill="1" applyBorder="1" applyAlignment="1">
      <alignment horizontal="center" vertical="center" wrapText="1"/>
    </xf>
    <xf numFmtId="0" fontId="21" fillId="10" borderId="3" xfId="0" applyFont="1" applyFill="1" applyBorder="1" applyAlignment="1">
      <alignment horizontal="center" vertical="center" wrapText="1"/>
    </xf>
    <xf numFmtId="165" fontId="21" fillId="10" borderId="3" xfId="1" applyNumberFormat="1" applyFont="1" applyFill="1" applyBorder="1" applyAlignment="1">
      <alignment horizontal="center" vertical="center" wrapText="1"/>
    </xf>
    <xf numFmtId="165" fontId="21" fillId="7" borderId="3" xfId="1" applyNumberFormat="1" applyFont="1" applyFill="1" applyBorder="1" applyAlignment="1">
      <alignment horizontal="center" vertical="center" wrapText="1"/>
    </xf>
    <xf numFmtId="1" fontId="20" fillId="12" borderId="5" xfId="1" applyNumberFormat="1" applyFont="1" applyFill="1" applyBorder="1" applyAlignment="1">
      <alignment horizontal="center" vertical="center"/>
    </xf>
    <xf numFmtId="168" fontId="20" fillId="12" borderId="6" xfId="1" applyNumberFormat="1" applyFont="1" applyFill="1" applyBorder="1" applyAlignment="1">
      <alignment horizontal="center" vertical="center"/>
    </xf>
    <xf numFmtId="22" fontId="27" fillId="12" borderId="6" xfId="0" applyNumberFormat="1" applyFont="1" applyFill="1" applyBorder="1" applyAlignment="1">
      <alignment horizontal="center"/>
    </xf>
    <xf numFmtId="22" fontId="27" fillId="12" borderId="6" xfId="0" applyNumberFormat="1" applyFont="1" applyFill="1" applyBorder="1"/>
    <xf numFmtId="1" fontId="23" fillId="12" borderId="6" xfId="0" applyNumberFormat="1" applyFont="1" applyFill="1" applyBorder="1" applyAlignment="1">
      <alignment horizontal="center"/>
    </xf>
    <xf numFmtId="22" fontId="23" fillId="12" borderId="6" xfId="0" applyNumberFormat="1" applyFont="1" applyFill="1" applyBorder="1" applyAlignment="1">
      <alignment horizontal="center"/>
    </xf>
    <xf numFmtId="1" fontId="20" fillId="12" borderId="6" xfId="1" applyNumberFormat="1" applyFont="1" applyFill="1" applyBorder="1" applyAlignment="1">
      <alignment horizontal="left" vertical="center"/>
    </xf>
    <xf numFmtId="1" fontId="27" fillId="12" borderId="6" xfId="0" applyNumberFormat="1" applyFont="1" applyFill="1" applyBorder="1"/>
    <xf numFmtId="0" fontId="27" fillId="12" borderId="6" xfId="0" applyFont="1" applyFill="1" applyBorder="1"/>
    <xf numFmtId="14" fontId="27" fillId="12" borderId="6" xfId="1" applyNumberFormat="1" applyFont="1" applyFill="1" applyBorder="1"/>
    <xf numFmtId="0" fontId="20" fillId="12" borderId="6" xfId="0" applyFont="1" applyFill="1" applyBorder="1" applyAlignment="1">
      <alignment horizontal="left" vertical="center"/>
    </xf>
    <xf numFmtId="166" fontId="20" fillId="12" borderId="6" xfId="1" applyNumberFormat="1" applyFont="1" applyFill="1" applyBorder="1" applyAlignment="1">
      <alignment vertical="center"/>
    </xf>
    <xf numFmtId="0" fontId="20" fillId="12" borderId="6" xfId="0" applyFont="1" applyFill="1" applyBorder="1" applyAlignment="1">
      <alignment vertical="center"/>
    </xf>
    <xf numFmtId="165" fontId="20" fillId="12" borderId="6" xfId="0" applyNumberFormat="1" applyFont="1" applyFill="1" applyBorder="1" applyAlignment="1">
      <alignment vertical="center"/>
    </xf>
    <xf numFmtId="164" fontId="20" fillId="12" borderId="6" xfId="1" applyFont="1" applyFill="1" applyBorder="1" applyAlignment="1">
      <alignment horizontal="right" vertical="center"/>
    </xf>
    <xf numFmtId="164" fontId="20" fillId="12" borderId="6" xfId="1" applyFont="1" applyFill="1" applyBorder="1" applyAlignment="1">
      <alignment horizontal="center" vertical="center"/>
    </xf>
    <xf numFmtId="164" fontId="20" fillId="12" borderId="6" xfId="1" applyFont="1" applyFill="1" applyBorder="1" applyAlignment="1">
      <alignment vertical="center"/>
    </xf>
    <xf numFmtId="165" fontId="20" fillId="12" borderId="6" xfId="1" applyNumberFormat="1" applyFont="1" applyFill="1" applyBorder="1" applyAlignment="1">
      <alignment vertical="center"/>
    </xf>
    <xf numFmtId="165" fontId="22" fillId="12" borderId="6" xfId="1" applyNumberFormat="1" applyFont="1" applyFill="1" applyBorder="1" applyAlignment="1">
      <alignment vertical="center"/>
    </xf>
    <xf numFmtId="164" fontId="20" fillId="7" borderId="6" xfId="1" applyFont="1" applyFill="1" applyBorder="1" applyAlignment="1">
      <alignment vertical="center"/>
    </xf>
    <xf numFmtId="165" fontId="22" fillId="7" borderId="6" xfId="1" applyNumberFormat="1" applyFont="1" applyFill="1" applyBorder="1" applyAlignment="1">
      <alignment vertical="center"/>
    </xf>
    <xf numFmtId="165" fontId="20" fillId="7" borderId="6" xfId="1" applyNumberFormat="1" applyFont="1" applyFill="1" applyBorder="1" applyAlignment="1">
      <alignment vertical="center"/>
    </xf>
    <xf numFmtId="2" fontId="12" fillId="8" borderId="3" xfId="1" applyNumberFormat="1" applyFont="1" applyFill="1" applyBorder="1" applyAlignment="1">
      <alignment horizontal="center" vertical="center" wrapText="1"/>
    </xf>
    <xf numFmtId="165" fontId="12" fillId="8" borderId="3" xfId="1" applyNumberFormat="1" applyFont="1" applyFill="1" applyBorder="1" applyAlignment="1">
      <alignment horizontal="center" vertical="center" wrapText="1"/>
    </xf>
    <xf numFmtId="165" fontId="12" fillId="8" borderId="4" xfId="1" applyNumberFormat="1" applyFont="1" applyFill="1" applyBorder="1" applyAlignment="1">
      <alignment horizontal="center" vertical="center" wrapText="1"/>
    </xf>
    <xf numFmtId="0" fontId="14" fillId="7" borderId="10" xfId="2" applyFont="1" applyFill="1" applyBorder="1" applyAlignment="1">
      <alignment horizontal="left" vertical="center" wrapText="1"/>
    </xf>
    <xf numFmtId="4" fontId="20" fillId="0" borderId="0" xfId="1" applyNumberFormat="1" applyFont="1" applyFill="1" applyBorder="1" applyAlignment="1">
      <alignment vertical="center"/>
    </xf>
    <xf numFmtId="4" fontId="21" fillId="7" borderId="0" xfId="1" applyNumberFormat="1" applyFont="1" applyFill="1" applyBorder="1" applyAlignment="1">
      <alignment vertical="center"/>
    </xf>
    <xf numFmtId="4" fontId="21" fillId="9" borderId="3" xfId="1" applyNumberFormat="1" applyFont="1" applyFill="1" applyBorder="1" applyAlignment="1">
      <alignment horizontal="center" vertical="center" wrapText="1"/>
    </xf>
    <xf numFmtId="4" fontId="27" fillId="12" borderId="6" xfId="1" applyNumberFormat="1" applyFont="1" applyFill="1" applyBorder="1"/>
    <xf numFmtId="0" fontId="0" fillId="0" borderId="1" xfId="0" applyBorder="1"/>
    <xf numFmtId="0" fontId="31" fillId="13" borderId="1" xfId="0" applyFont="1" applyFill="1" applyBorder="1"/>
    <xf numFmtId="0" fontId="0" fillId="14" borderId="1" xfId="0" applyFill="1" applyBorder="1"/>
    <xf numFmtId="0" fontId="33" fillId="16" borderId="25" xfId="0" applyFont="1" applyFill="1" applyBorder="1" applyAlignment="1">
      <alignment horizontal="center"/>
    </xf>
    <xf numFmtId="0" fontId="34" fillId="16" borderId="3" xfId="0" applyFont="1" applyFill="1" applyBorder="1" applyAlignment="1">
      <alignment horizontal="center"/>
    </xf>
    <xf numFmtId="0" fontId="32" fillId="0" borderId="27" xfId="0" applyFont="1" applyBorder="1" applyAlignment="1">
      <alignment horizontal="justify" vertical="center"/>
    </xf>
    <xf numFmtId="0" fontId="34" fillId="16" borderId="28" xfId="0" applyFont="1" applyFill="1" applyBorder="1"/>
    <xf numFmtId="0" fontId="35" fillId="17" borderId="6" xfId="0" applyFont="1" applyFill="1" applyBorder="1"/>
    <xf numFmtId="0" fontId="35" fillId="0" borderId="6" xfId="0" applyFont="1" applyBorder="1"/>
    <xf numFmtId="0" fontId="36" fillId="0" borderId="26" xfId="0" applyFont="1" applyBorder="1" applyAlignment="1">
      <alignment horizontal="justify" vertical="center" wrapText="1"/>
    </xf>
    <xf numFmtId="0" fontId="36" fillId="0" borderId="27" xfId="0" applyFont="1" applyBorder="1" applyAlignment="1">
      <alignment horizontal="justify" vertical="center"/>
    </xf>
    <xf numFmtId="1" fontId="21" fillId="18" borderId="3" xfId="0" applyNumberFormat="1" applyFont="1" applyFill="1" applyBorder="1" applyAlignment="1">
      <alignment horizontal="center" vertical="center" wrapText="1"/>
    </xf>
    <xf numFmtId="0" fontId="19" fillId="15" borderId="1" xfId="0" applyFont="1" applyFill="1" applyBorder="1"/>
    <xf numFmtId="0" fontId="19" fillId="15" borderId="29" xfId="0" applyFont="1" applyFill="1" applyBorder="1"/>
    <xf numFmtId="0" fontId="37" fillId="0" borderId="1" xfId="0" applyFont="1" applyBorder="1"/>
    <xf numFmtId="0" fontId="0" fillId="13" borderId="1" xfId="0" applyFill="1" applyBorder="1"/>
    <xf numFmtId="44" fontId="21" fillId="10" borderId="3" xfId="38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/>
    </xf>
    <xf numFmtId="0" fontId="32" fillId="0" borderId="21" xfId="0" applyFont="1" applyBorder="1" applyAlignment="1">
      <alignment horizontal="justify" vertical="center"/>
    </xf>
    <xf numFmtId="0" fontId="32" fillId="0" borderId="26" xfId="0" applyFont="1" applyBorder="1" applyAlignment="1">
      <alignment horizontal="justify" vertical="center"/>
    </xf>
    <xf numFmtId="0" fontId="32" fillId="0" borderId="22" xfId="0" applyFont="1" applyBorder="1" applyAlignment="1">
      <alignment horizontal="justify" vertical="center" wrapText="1"/>
    </xf>
    <xf numFmtId="0" fontId="32" fillId="0" borderId="23" xfId="0" applyFont="1" applyBorder="1" applyAlignment="1">
      <alignment horizontal="justify" vertical="center" wrapText="1"/>
    </xf>
    <xf numFmtId="0" fontId="32" fillId="0" borderId="24" xfId="0" applyFont="1" applyBorder="1" applyAlignment="1">
      <alignment horizontal="justify" vertical="center" wrapText="1"/>
    </xf>
    <xf numFmtId="0" fontId="32" fillId="0" borderId="21" xfId="0" applyFont="1" applyBorder="1" applyAlignment="1">
      <alignment horizontal="justify" vertical="center" wrapText="1"/>
    </xf>
    <xf numFmtId="0" fontId="32" fillId="0" borderId="26" xfId="0" applyFont="1" applyBorder="1" applyAlignment="1">
      <alignment horizontal="justify" vertical="center" wrapText="1"/>
    </xf>
    <xf numFmtId="0" fontId="24" fillId="8" borderId="18" xfId="2" applyFont="1" applyFill="1" applyBorder="1" applyAlignment="1">
      <alignment horizontal="center" vertical="center" wrapText="1"/>
    </xf>
    <xf numFmtId="0" fontId="24" fillId="8" borderId="19" xfId="2" applyFont="1" applyFill="1" applyBorder="1" applyAlignment="1">
      <alignment horizontal="center" vertical="center" wrapText="1"/>
    </xf>
    <xf numFmtId="0" fontId="24" fillId="8" borderId="20" xfId="2" applyFont="1" applyFill="1" applyBorder="1" applyAlignment="1">
      <alignment horizontal="center" vertical="center" wrapText="1"/>
    </xf>
    <xf numFmtId="165" fontId="24" fillId="8" borderId="11" xfId="1" applyNumberFormat="1" applyFont="1" applyFill="1" applyBorder="1" applyAlignment="1">
      <alignment horizontal="center" vertical="center" wrapText="1"/>
    </xf>
    <xf numFmtId="165" fontId="24" fillId="8" borderId="16" xfId="1" applyNumberFormat="1" applyFont="1" applyFill="1" applyBorder="1" applyAlignment="1">
      <alignment horizontal="center" vertical="center" wrapText="1"/>
    </xf>
    <xf numFmtId="165" fontId="24" fillId="8" borderId="12" xfId="1" applyNumberFormat="1" applyFont="1" applyFill="1" applyBorder="1" applyAlignment="1">
      <alignment horizontal="center" vertical="center" wrapText="1"/>
    </xf>
    <xf numFmtId="165" fontId="23" fillId="0" borderId="0" xfId="1" applyNumberFormat="1" applyFont="1" applyFill="1" applyBorder="1" applyAlignment="1">
      <alignment vertical="center"/>
    </xf>
  </cellXfs>
  <cellStyles count="39">
    <cellStyle name="Comma" xfId="1" builtinId="3"/>
    <cellStyle name="Comma 2" xfId="3" xr:uid="{00000000-0005-0000-0000-000001000000}"/>
    <cellStyle name="Comma 2 2" xfId="14" xr:uid="{00000000-0005-0000-0000-000002000000}"/>
    <cellStyle name="Comma 2 2 2" xfId="32" xr:uid="{00000000-0005-0000-0000-000003000000}"/>
    <cellStyle name="Comma 2 3" xfId="25" xr:uid="{00000000-0005-0000-0000-000004000000}"/>
    <cellStyle name="Comma 3" xfId="8" xr:uid="{00000000-0005-0000-0000-000005000000}"/>
    <cellStyle name="Comma 3 2" xfId="17" xr:uid="{00000000-0005-0000-0000-000006000000}"/>
    <cellStyle name="Comma 3 2 2" xfId="35" xr:uid="{00000000-0005-0000-0000-000007000000}"/>
    <cellStyle name="Comma 3 3" xfId="28" xr:uid="{00000000-0005-0000-0000-000008000000}"/>
    <cellStyle name="Comma 4" xfId="12" xr:uid="{00000000-0005-0000-0000-000009000000}"/>
    <cellStyle name="Comma 5" xfId="23" xr:uid="{00000000-0005-0000-0000-00000A000000}"/>
    <cellStyle name="Comma 6" xfId="21" xr:uid="{00000000-0005-0000-0000-00000B000000}"/>
    <cellStyle name="Currency" xfId="38" builtinId="4"/>
    <cellStyle name="Good" xfId="4" builtinId="26"/>
    <cellStyle name="Neutral" xfId="5" builtinId="28"/>
    <cellStyle name="Normal" xfId="0" builtinId="0"/>
    <cellStyle name="Normal 2" xfId="2" xr:uid="{00000000-0005-0000-0000-000010000000}"/>
    <cellStyle name="Normal 2 2" xfId="13" xr:uid="{00000000-0005-0000-0000-000011000000}"/>
    <cellStyle name="Normal 2 2 2" xfId="31" xr:uid="{00000000-0005-0000-0000-000012000000}"/>
    <cellStyle name="Normal 2 3" xfId="24" xr:uid="{00000000-0005-0000-0000-000013000000}"/>
    <cellStyle name="Normal 3" xfId="6" xr:uid="{00000000-0005-0000-0000-000014000000}"/>
    <cellStyle name="Normal 3 2" xfId="15" xr:uid="{00000000-0005-0000-0000-000015000000}"/>
    <cellStyle name="Normal 3 2 2" xfId="33" xr:uid="{00000000-0005-0000-0000-000016000000}"/>
    <cellStyle name="Normal 3 3" xfId="26" xr:uid="{00000000-0005-0000-0000-000017000000}"/>
    <cellStyle name="Normal 4" xfId="7" xr:uid="{00000000-0005-0000-0000-000018000000}"/>
    <cellStyle name="Normal 4 2" xfId="16" xr:uid="{00000000-0005-0000-0000-000019000000}"/>
    <cellStyle name="Normal 4 2 2" xfId="34" xr:uid="{00000000-0005-0000-0000-00001A000000}"/>
    <cellStyle name="Normal 4 3" xfId="27" xr:uid="{00000000-0005-0000-0000-00001B000000}"/>
    <cellStyle name="Normal 5" xfId="9" xr:uid="{00000000-0005-0000-0000-00001C000000}"/>
    <cellStyle name="Normal 5 2" xfId="18" xr:uid="{00000000-0005-0000-0000-00001D000000}"/>
    <cellStyle name="Normal 5 2 2" xfId="36" xr:uid="{00000000-0005-0000-0000-00001E000000}"/>
    <cellStyle name="Normal 5 3" xfId="29" xr:uid="{00000000-0005-0000-0000-00001F000000}"/>
    <cellStyle name="Normal 6" xfId="11" xr:uid="{00000000-0005-0000-0000-000020000000}"/>
    <cellStyle name="Normal 7" xfId="10" xr:uid="{00000000-0005-0000-0000-000021000000}"/>
    <cellStyle name="Normal 7 2" xfId="30" xr:uid="{00000000-0005-0000-0000-000022000000}"/>
    <cellStyle name="Normal 8" xfId="22" xr:uid="{00000000-0005-0000-0000-000023000000}"/>
    <cellStyle name="Normal 9" xfId="20" xr:uid="{00000000-0005-0000-0000-000024000000}"/>
    <cellStyle name="Percent" xfId="19" builtinId="5"/>
    <cellStyle name="Percent 2" xfId="37" xr:uid="{00000000-0005-0000-0000-00002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762000</xdr:colOff>
      <xdr:row>0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955675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762000</xdr:colOff>
      <xdr:row>0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955675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BB11"/>
  <sheetViews>
    <sheetView tabSelected="1" topLeftCell="AF1" zoomScale="70" zoomScaleNormal="70" workbookViewId="0">
      <selection activeCell="AO10" sqref="AO10"/>
    </sheetView>
  </sheetViews>
  <sheetFormatPr defaultColWidth="9.1796875" defaultRowHeight="18.25" customHeight="1" x14ac:dyDescent="0.35"/>
  <cols>
    <col min="1" max="1" width="12.453125" style="84" bestFit="1" customWidth="1"/>
    <col min="2" max="2" width="9.7265625" style="102" customWidth="1"/>
    <col min="3" max="3" width="11.81640625" style="103" customWidth="1"/>
    <col min="4" max="4" width="20.26953125" style="104" customWidth="1"/>
    <col min="5" max="5" width="21.7265625" style="104" customWidth="1"/>
    <col min="6" max="6" width="13.81640625" style="105" customWidth="1"/>
    <col min="7" max="7" width="14.1796875" style="105" customWidth="1"/>
    <col min="8" max="8" width="18" style="85" customWidth="1"/>
    <col min="9" max="9" width="16.453125" style="84" customWidth="1"/>
    <col min="10" max="10" width="21.453125" style="84" customWidth="1"/>
    <col min="11" max="12" width="18" style="84" customWidth="1"/>
    <col min="13" max="13" width="22.54296875" style="85" customWidth="1"/>
    <col min="14" max="14" width="17.81640625" style="165" customWidth="1"/>
    <col min="15" max="15" width="21.7265625" style="104" customWidth="1"/>
    <col min="16" max="16" width="14.54296875" style="107" customWidth="1"/>
    <col min="17" max="17" width="43.81640625" style="108" customWidth="1"/>
    <col min="18" max="18" width="27.81640625" style="106" customWidth="1"/>
    <col min="19" max="21" width="8.453125" style="85" customWidth="1"/>
    <col min="22" max="22" width="10.453125" style="85" customWidth="1"/>
    <col min="23" max="23" width="8.453125" style="85" customWidth="1"/>
    <col min="24" max="24" width="18.7265625" style="88" customWidth="1"/>
    <col min="25" max="25" width="21.1796875" style="88" customWidth="1"/>
    <col min="26" max="26" width="8.7265625" style="88" customWidth="1"/>
    <col min="27" max="27" width="8.453125" style="85" customWidth="1"/>
    <col min="28" max="28" width="7.81640625" style="88" customWidth="1"/>
    <col min="29" max="29" width="13.1796875" style="85" customWidth="1"/>
    <col min="30" max="30" width="11.54296875" style="85" customWidth="1"/>
    <col min="31" max="31" width="13.54296875" style="85" customWidth="1"/>
    <col min="32" max="32" width="30.7265625" style="88" customWidth="1"/>
    <col min="33" max="33" width="11.54296875" style="87" customWidth="1"/>
    <col min="34" max="36" width="10.1796875" style="87" customWidth="1"/>
    <col min="37" max="37" width="16" style="86" customWidth="1"/>
    <col min="38" max="38" width="22.1796875" style="87" customWidth="1"/>
    <col min="39" max="39" width="23.453125" style="87" customWidth="1"/>
    <col min="40" max="40" width="20.54296875" style="89" customWidth="1"/>
    <col min="41" max="41" width="17.54296875" style="89" customWidth="1"/>
    <col min="42" max="42" width="15.54296875" style="89" customWidth="1"/>
    <col min="43" max="43" width="19.26953125" style="89" customWidth="1"/>
    <col min="44" max="44" width="17.453125" style="89" customWidth="1"/>
    <col min="45" max="45" width="19.26953125" style="89" customWidth="1"/>
    <col min="46" max="46" width="18.1796875" style="89" customWidth="1"/>
    <col min="47" max="47" width="20" style="89" customWidth="1"/>
    <col min="48" max="48" width="17.81640625" style="87" customWidth="1"/>
    <col min="49" max="49" width="16.453125" style="87" customWidth="1"/>
    <col min="50" max="50" width="9.1796875" style="87" customWidth="1"/>
    <col min="51" max="51" width="10.1796875" style="89" customWidth="1"/>
    <col min="52" max="52" width="11.1796875" style="89" customWidth="1"/>
    <col min="53" max="54" width="9.1796875" style="29"/>
    <col min="55" max="16384" width="9.1796875" style="88"/>
  </cols>
  <sheetData>
    <row r="1" spans="1:54" s="97" customFormat="1" ht="24" customHeight="1" thickBot="1" x14ac:dyDescent="0.4">
      <c r="A1" s="90" t="e">
        <f>SUBTOTAL(2,#REF!)</f>
        <v>#REF!</v>
      </c>
      <c r="B1" s="91"/>
      <c r="C1" s="92"/>
      <c r="D1" s="93"/>
      <c r="E1" s="93"/>
      <c r="F1" s="94"/>
      <c r="G1" s="94"/>
      <c r="H1" s="95"/>
      <c r="I1" s="96"/>
      <c r="J1" s="96"/>
      <c r="K1" s="96"/>
      <c r="L1" s="96"/>
      <c r="M1" s="95"/>
      <c r="N1" s="166"/>
      <c r="O1" s="93"/>
      <c r="P1" s="98"/>
      <c r="Q1" s="99"/>
      <c r="R1" s="90"/>
      <c r="S1" s="95"/>
      <c r="T1" s="95"/>
      <c r="U1" s="95"/>
      <c r="V1" s="95"/>
      <c r="W1" s="95"/>
      <c r="AA1" s="95"/>
      <c r="AC1" s="95"/>
      <c r="AD1" s="95"/>
      <c r="AE1" s="95"/>
      <c r="AG1" s="100"/>
      <c r="AH1" s="100"/>
      <c r="AI1" s="100"/>
      <c r="AJ1" s="100"/>
      <c r="AK1" s="101"/>
      <c r="AL1" s="97" t="e">
        <f>SUBTOTAL(9,#REF!)</f>
        <v>#REF!</v>
      </c>
      <c r="AM1" s="97" t="e">
        <f>SUBTOTAL(9,#REF!)</f>
        <v>#REF!</v>
      </c>
      <c r="AN1" s="97" t="e">
        <f>SUBTOTAL(9,#REF!)</f>
        <v>#REF!</v>
      </c>
      <c r="AO1" s="97" t="e">
        <f>SUBTOTAL(9,#REF!)</f>
        <v>#REF!</v>
      </c>
      <c r="AP1" s="97" t="e">
        <f>SUBTOTAL(9,#REF!)</f>
        <v>#REF!</v>
      </c>
      <c r="AQ1" s="97" t="e">
        <f>SUBTOTAL(9,#REF!)</f>
        <v>#REF!</v>
      </c>
      <c r="AR1" s="97" t="e">
        <f>SUBTOTAL(9,#REF!)</f>
        <v>#REF!</v>
      </c>
      <c r="AS1" s="97" t="e">
        <f>SUBTOTAL(9,#REF!)</f>
        <v>#REF!</v>
      </c>
      <c r="AT1" s="97" t="e">
        <f>SUBTOTAL(9,#REF!)</f>
        <v>#REF!</v>
      </c>
      <c r="AU1" s="97" t="e">
        <f>SUBTOTAL(9,#REF!)</f>
        <v>#REF!</v>
      </c>
      <c r="AV1" s="100"/>
      <c r="AW1" s="100"/>
      <c r="AX1" s="100"/>
      <c r="AY1" s="100"/>
      <c r="AZ1" s="100"/>
      <c r="BA1" s="100"/>
    </row>
    <row r="2" spans="1:54" s="138" customFormat="1" ht="34" customHeight="1" x14ac:dyDescent="0.35">
      <c r="A2" s="121" t="s">
        <v>469</v>
      </c>
      <c r="B2" s="122" t="s">
        <v>2370</v>
      </c>
      <c r="C2" s="123" t="s">
        <v>2371</v>
      </c>
      <c r="D2" s="124" t="s">
        <v>2372</v>
      </c>
      <c r="E2" s="124" t="s">
        <v>2373</v>
      </c>
      <c r="F2" s="125" t="s">
        <v>3205</v>
      </c>
      <c r="G2" s="125" t="s">
        <v>3193</v>
      </c>
      <c r="H2" s="126" t="s">
        <v>2374</v>
      </c>
      <c r="I2" s="123" t="s">
        <v>3354</v>
      </c>
      <c r="J2" s="127" t="s">
        <v>3129</v>
      </c>
      <c r="K2" s="127" t="s">
        <v>3128</v>
      </c>
      <c r="L2" s="123" t="s">
        <v>3308</v>
      </c>
      <c r="M2" s="123" t="s">
        <v>2375</v>
      </c>
      <c r="N2" s="167" t="s">
        <v>1338</v>
      </c>
      <c r="O2" s="129" t="s">
        <v>9</v>
      </c>
      <c r="P2" s="130" t="s">
        <v>3130</v>
      </c>
      <c r="Q2" s="131" t="s">
        <v>2376</v>
      </c>
      <c r="R2" s="132" t="s">
        <v>3181</v>
      </c>
      <c r="S2" s="133" t="s">
        <v>3132</v>
      </c>
      <c r="T2" s="133" t="s">
        <v>3133</v>
      </c>
      <c r="U2" s="133" t="s">
        <v>3191</v>
      </c>
      <c r="V2" s="133" t="s">
        <v>3192</v>
      </c>
      <c r="W2" s="133" t="s">
        <v>2377</v>
      </c>
      <c r="X2" s="134" t="s">
        <v>2378</v>
      </c>
      <c r="Y2" s="134" t="s">
        <v>3182</v>
      </c>
      <c r="Z2" s="135" t="s">
        <v>3183</v>
      </c>
      <c r="AA2" s="133" t="s">
        <v>3134</v>
      </c>
      <c r="AB2" s="133" t="s">
        <v>3189</v>
      </c>
      <c r="AC2" s="133" t="s">
        <v>3190</v>
      </c>
      <c r="AD2" s="185" t="s">
        <v>2379</v>
      </c>
      <c r="AE2" s="136" t="s">
        <v>3097</v>
      </c>
      <c r="AF2" s="135" t="s">
        <v>2380</v>
      </c>
      <c r="AG2" s="128" t="s">
        <v>2381</v>
      </c>
      <c r="AH2" s="128" t="s">
        <v>2382</v>
      </c>
      <c r="AI2" s="128" t="s">
        <v>2383</v>
      </c>
      <c r="AJ2" s="128" t="s">
        <v>2384</v>
      </c>
      <c r="AK2" s="128" t="s">
        <v>2385</v>
      </c>
      <c r="AL2" s="128" t="s">
        <v>2386</v>
      </c>
      <c r="AM2" s="128" t="s">
        <v>2387</v>
      </c>
      <c r="AN2" s="137" t="s">
        <v>2388</v>
      </c>
      <c r="AO2" s="137" t="s">
        <v>2389</v>
      </c>
      <c r="AP2" s="137" t="s">
        <v>3131</v>
      </c>
      <c r="AQ2" s="137" t="s">
        <v>2390</v>
      </c>
      <c r="AR2" s="137" t="s">
        <v>2391</v>
      </c>
      <c r="AS2" s="137" t="s">
        <v>2392</v>
      </c>
      <c r="AT2" s="130" t="s">
        <v>2393</v>
      </c>
      <c r="AU2" s="130" t="s">
        <v>2394</v>
      </c>
      <c r="AV2" s="128" t="s">
        <v>3098</v>
      </c>
      <c r="AW2" s="128" t="s">
        <v>3099</v>
      </c>
      <c r="AX2" s="128" t="s">
        <v>2386</v>
      </c>
      <c r="AY2" s="123" t="s">
        <v>2388</v>
      </c>
      <c r="AZ2" s="123" t="s">
        <v>3100</v>
      </c>
      <c r="BA2" s="180" t="s">
        <v>3458</v>
      </c>
      <c r="BB2" s="180" t="s">
        <v>3459</v>
      </c>
    </row>
    <row r="3" spans="1:54" s="160" customFormat="1" ht="18.25" customHeight="1" x14ac:dyDescent="0.3">
      <c r="A3" s="139" t="s">
        <v>3309</v>
      </c>
      <c r="B3" s="140"/>
      <c r="C3" s="141"/>
      <c r="D3" s="142"/>
      <c r="E3" s="142"/>
      <c r="F3" s="143">
        <f t="shared" ref="F3:F4" si="0">INT(DATE(YEAR(E3),MONTH(E3),DAY(E3))-DATE(YEAR(D3),MONTH(D3),DAY(D3)))</f>
        <v>0</v>
      </c>
      <c r="G3" s="144" t="str">
        <f>IF(AND((LEFT(M3,4)="Giao"),F3&lt;=VALUE(LEFT(P3,1))), "On time",IF(OR(LEFT(M3,3)="Trả",LEFT(M3,3)="Mất")," "," Late"))</f>
        <v xml:space="preserve"> </v>
      </c>
      <c r="H3" s="142"/>
      <c r="I3" s="145" t="str">
        <f>IF(MID(K3,6,7)="AMSPICK","C-Return",IF(OR(LEFT(K3,5)="GHNTK",LEFT(K3,5)="GTKMP"),"Delivery","System Booking"))</f>
        <v>System Booking</v>
      </c>
      <c r="J3" s="146">
        <v>386924126</v>
      </c>
      <c r="K3" s="146">
        <v>31429951259867</v>
      </c>
      <c r="L3" s="145">
        <v>1367</v>
      </c>
      <c r="M3" s="147" t="s">
        <v>3209</v>
      </c>
      <c r="N3" s="168">
        <v>713400</v>
      </c>
      <c r="O3" s="148">
        <v>44180.414641203701</v>
      </c>
      <c r="P3" s="147" t="s">
        <v>3188</v>
      </c>
      <c r="Q3" s="147" t="s">
        <v>3278</v>
      </c>
      <c r="R3" s="149" t="str">
        <f>IF(FIND("-",Q3,1)-1=5,VLOOKUP(REPLACE(Q3,1,7,""),'Bảng giá '!$Y:$AB,2,0),VLOOKUP(REPLACE(Q3,1,11,""),'Bảng giá '!$Y:$AB,2,0))</f>
        <v>Quận Liên Chiểu - Đà Nẵng</v>
      </c>
      <c r="S3" s="150" t="str">
        <f>VLOOKUP(R3,'Bảng giá '!$K:$Q,3,0)</f>
        <v>Đà Nẵng</v>
      </c>
      <c r="T3" s="150" t="str">
        <f>VLOOKUP(R3,'Bảng giá '!$K:$Q,2,0)</f>
        <v>Quận Liên Chiểu</v>
      </c>
      <c r="U3" s="151" t="str">
        <f>VLOOKUP(R3,'Bảng giá '!$K$1:$Q$768,6,0)</f>
        <v>North central</v>
      </c>
      <c r="V3" s="150" t="str">
        <f>VLOOKUP(R3,'Bảng giá '!$K:$N,4,0)</f>
        <v>urban</v>
      </c>
      <c r="W3" s="150" t="str">
        <f>VLOOKUP(R3,'Bảng giá '!$K:$Q,7,0)</f>
        <v>Đà Nẵng</v>
      </c>
      <c r="X3" s="147" t="s">
        <v>3295</v>
      </c>
      <c r="Y3" s="147" t="s">
        <v>35</v>
      </c>
      <c r="Z3" s="151" t="str">
        <f>VLOOKUP(Y3,'Bảng giá '!$K$1:$M$768,3,0)</f>
        <v>Đà Nẵng</v>
      </c>
      <c r="AA3" s="150" t="str">
        <f>VLOOKUP(Y3,'Bảng giá '!$K:$Q,2,0)</f>
        <v>Quận Hải Châu</v>
      </c>
      <c r="AB3" s="151" t="str">
        <f>VLOOKUP(Y3,'Bảng giá '!$K$1:$Q$768,6,0)</f>
        <v>North central</v>
      </c>
      <c r="AC3" s="150" t="str">
        <f>VLOOKUP(Y3,'Bảng giá '!K:N,4,0)</f>
        <v>urban</v>
      </c>
      <c r="AD3" s="150" t="str">
        <f>VLOOKUP(Y3,'Bảng giá '!K:Q,7,0)</f>
        <v>Đà Nẵng</v>
      </c>
      <c r="AE3" s="152" t="str">
        <f>IF(AND(S3=Y3,W3&lt;&gt;"HCM",W3&lt;&gt;"Hà Nội",W3&lt;&gt;"Đà Nẵng"),"Same Province",INDEX('Bảng giá '!$B$22:$G$28,MATCH(W3,'Bảng giá '!$A$22:$A$28,0),MATCH(AD3,'Bảng giá '!$B$22:$G$22,0)))</f>
        <v>Intra Metro</v>
      </c>
      <c r="AF3" s="151" t="str">
        <f>AE3&amp;" "&amp;AC3</f>
        <v>Intra Metro urban</v>
      </c>
      <c r="AG3" s="153">
        <v>0.5</v>
      </c>
      <c r="AH3" s="147">
        <v>10</v>
      </c>
      <c r="AI3" s="147">
        <v>10</v>
      </c>
      <c r="AJ3" s="147">
        <v>10</v>
      </c>
      <c r="AK3" s="154">
        <f t="shared" ref="AK3" si="1">AH3*AI3*AJ3/6000</f>
        <v>0.16666666666666666</v>
      </c>
      <c r="AL3" s="155">
        <f t="shared" ref="AL3" si="2">MAX(AK3,AG3)</f>
        <v>0.5</v>
      </c>
      <c r="AM3" s="155">
        <v>31900</v>
      </c>
      <c r="AN3" s="156" t="s">
        <v>3487</v>
      </c>
      <c r="AO3" s="156" t="e">
        <f>IF(LEFT(M3,3)="Trả",VLOOKUP(AF3,'Bảng giá '!$A$2:$I$20,9,0)*AN3,0)</f>
        <v>#VALUE!</v>
      </c>
      <c r="AP3" s="156">
        <v>0</v>
      </c>
      <c r="AQ3" s="156" t="e">
        <f t="shared" ref="AQ3:AQ4" si="3">AN3+AO3</f>
        <v>#VALUE!</v>
      </c>
      <c r="AR3" s="156">
        <f>_xlfn.IFNA(IF(AND(W3="Hà Nội",VLOOKUP(Z3,'Bảng giá '!$C$32:$D$35,2,0)="CK"),AN3*25%,0),_xlfn.IFNA(IF(AND(W3="HCM",VLOOKUP(Z3,'Bảng giá '!$C$36:$D$53,2,0)="CK"),AN3*25%,0),IF(AND(W3="Đà Nẵng",AD3="Khu Vực 2"),AN3*25%,0)))</f>
        <v>0</v>
      </c>
      <c r="AS3" s="156" t="e">
        <f t="shared" ref="AS3:AS4" si="4">AQ3-AR3</f>
        <v>#VALUE!</v>
      </c>
      <c r="AT3" s="157" t="e">
        <f t="shared" ref="AT3:AT4" si="5">AS3*10%</f>
        <v>#VALUE!</v>
      </c>
      <c r="AU3" s="157" t="e">
        <f t="shared" ref="AU3:AU4" si="6">AS3+AT3</f>
        <v>#VALUE!</v>
      </c>
      <c r="AV3" s="158"/>
      <c r="AW3" s="158"/>
      <c r="AX3" s="158"/>
      <c r="AY3" s="159"/>
      <c r="AZ3" s="159"/>
      <c r="BA3" s="160" t="str">
        <f>INDEX(check!$D$6:$F$7,MATCH(AUGUST!L3,check!$C$6:$C$7,0),MATCH(AUGUST!I3,check!$D$5:$F$5,0))</f>
        <v>System Booking</v>
      </c>
      <c r="BB3" s="160" t="str">
        <f>IF(AND(BA3="C2C Dropship",LEFT(Q3,4)="1297"),"B2C DropShip",IF(AND(BA3="C2C",LEFT(Q3,4)="1327"),"B2C DropShip",BA3))</f>
        <v>System Booking</v>
      </c>
    </row>
    <row r="4" spans="1:54" s="160" customFormat="1" ht="18.25" customHeight="1" x14ac:dyDescent="0.3">
      <c r="A4" s="139" t="s">
        <v>3309</v>
      </c>
      <c r="B4" s="140"/>
      <c r="C4" s="141"/>
      <c r="D4" s="142"/>
      <c r="E4" s="142"/>
      <c r="F4" s="143">
        <f t="shared" si="0"/>
        <v>0</v>
      </c>
      <c r="G4" s="144" t="str">
        <f>IF(AND((LEFT(M4,4)="Giao"),F4&lt;=VALUE(LEFT(P4,1))), "On time",IF(OR(LEFT(M4,3)="Trả",LEFT(M4,3)="Mất")," "," Late"))</f>
        <v xml:space="preserve"> </v>
      </c>
      <c r="H4" s="147"/>
      <c r="I4" s="145" t="str">
        <f>IF(MID(K4,6,7)="AMSPICK","C-Return",IF(OR(LEFT(K4,5)="GHNTK",LEFT(K4,5)="GTKMP"),"Delivery","System Booking"))</f>
        <v>System Booking</v>
      </c>
      <c r="J4" s="146">
        <v>589650928</v>
      </c>
      <c r="K4" s="146">
        <v>31428817219195</v>
      </c>
      <c r="L4" s="145">
        <v>1367</v>
      </c>
      <c r="M4" s="147" t="s">
        <v>3209</v>
      </c>
      <c r="N4" s="168">
        <v>1184000</v>
      </c>
      <c r="O4" s="148">
        <v>44179.433564814812</v>
      </c>
      <c r="P4" s="147" t="s">
        <v>3188</v>
      </c>
      <c r="Q4" s="147" t="s">
        <v>3278</v>
      </c>
      <c r="R4" s="149" t="str">
        <f>IF(FIND("-",Q4,1)-1=5,VLOOKUP(REPLACE(Q4,1,7,""),'Bảng giá '!$Y:$AB,2,0),VLOOKUP(REPLACE(Q4,1,11,""),'Bảng giá '!$Y:$AB,2,0))</f>
        <v>Quận Liên Chiểu - Đà Nẵng</v>
      </c>
      <c r="S4" s="150" t="str">
        <f>VLOOKUP(R4,'Bảng giá '!$K:$Q,3,0)</f>
        <v>Đà Nẵng</v>
      </c>
      <c r="T4" s="150" t="str">
        <f>VLOOKUP(R4,'Bảng giá '!$K:$Q,2,0)</f>
        <v>Quận Liên Chiểu</v>
      </c>
      <c r="U4" s="151" t="str">
        <f>VLOOKUP(R4,'Bảng giá '!$K$1:$Q$768,6,0)</f>
        <v>North central</v>
      </c>
      <c r="V4" s="150" t="str">
        <f>VLOOKUP(R4,'Bảng giá '!$K:$N,4,0)</f>
        <v>urban</v>
      </c>
      <c r="W4" s="150" t="str">
        <f>VLOOKUP(R4,'Bảng giá '!$K:$Q,7,0)</f>
        <v>Đà Nẵng</v>
      </c>
      <c r="X4" s="147" t="s">
        <v>3296</v>
      </c>
      <c r="Y4" s="147" t="s">
        <v>35</v>
      </c>
      <c r="Z4" s="151" t="str">
        <f>VLOOKUP(Y4,'Bảng giá '!$K$1:$M$768,3,0)</f>
        <v>Đà Nẵng</v>
      </c>
      <c r="AA4" s="150" t="str">
        <f>VLOOKUP(Y4,'Bảng giá '!$K:$Q,2,0)</f>
        <v>Quận Hải Châu</v>
      </c>
      <c r="AB4" s="151" t="str">
        <f>VLOOKUP(Y4,'Bảng giá '!$K$1:$Q$768,6,0)</f>
        <v>North central</v>
      </c>
      <c r="AC4" s="150" t="str">
        <f>VLOOKUP(Y4,'Bảng giá '!K:N,4,0)</f>
        <v>urban</v>
      </c>
      <c r="AD4" s="150" t="str">
        <f>VLOOKUP(Y4,'Bảng giá '!K:Q,7,0)</f>
        <v>Đà Nẵng</v>
      </c>
      <c r="AE4" s="152" t="str">
        <f>IF(AND(S4=Y4,W4&lt;&gt;"HCM",W4&lt;&gt;"Hà Nội",W4&lt;&gt;"Đà Nẵng"),"Same Province",INDEX('Bảng giá '!$B$22:$G$28,MATCH(W4,'Bảng giá '!$A$22:$A$28,0),MATCH(AD4,'Bảng giá '!$B$22:$G$22,0)))</f>
        <v>Intra Metro</v>
      </c>
      <c r="AF4" s="151" t="s">
        <v>3347</v>
      </c>
      <c r="AG4" s="153">
        <v>1.1000000000000001</v>
      </c>
      <c r="AH4" s="147">
        <v>10</v>
      </c>
      <c r="AI4" s="147">
        <v>10</v>
      </c>
      <c r="AJ4" s="147">
        <v>10</v>
      </c>
      <c r="AK4" s="154">
        <f>AH4*AI4*AJ4/6000</f>
        <v>0.16666666666666666</v>
      </c>
      <c r="AL4" s="155">
        <f>MAX(AK4,AG4)</f>
        <v>1.1000000000000001</v>
      </c>
      <c r="AM4" s="155">
        <v>31900</v>
      </c>
      <c r="AN4" s="156">
        <f>INDEX('Bảng giá '!$A$2:$I$20,MATCH(AF4,'Bảng giá '!$A$2:$A$20,0),MATCH(MIN(CEILING(AL4,0.5),3),'Bảng giá '!$A$2:$I$2,0))+MAX(CEILING(AL4,0.5)-3,0)/0.5*VLOOKUP(AF4,'Bảng giá '!$A$2:$I$20,8,0)</f>
        <v>47520</v>
      </c>
      <c r="AO4" s="156">
        <f>IF(LEFT(M4,3)="Trả",VLOOKUP(AF4,'Bảng giá '!$A$2:$I$20,9,0)*AN4,0)</f>
        <v>19008</v>
      </c>
      <c r="AP4" s="156">
        <v>0</v>
      </c>
      <c r="AQ4" s="156">
        <f t="shared" si="3"/>
        <v>66528</v>
      </c>
      <c r="AR4" s="156">
        <f>_xlfn.IFNA(IF(AND(W4="Hà Nội",VLOOKUP(Z4,'Bảng giá '!$C$32:$D$35,2,0)="CK"),AN4*25%,0),_xlfn.IFNA(IF(AND(W4="HCM",VLOOKUP(Z4,'Bảng giá '!$C$36:$D$53,2,0)="CK"),AN4*25%,0),IF(AND(W4="Đà Nẵng",AD4="Khu Vực 2"),AN4*25%,0)))</f>
        <v>0</v>
      </c>
      <c r="AS4" s="156">
        <f t="shared" si="4"/>
        <v>66528</v>
      </c>
      <c r="AT4" s="157">
        <f t="shared" si="5"/>
        <v>6652.8</v>
      </c>
      <c r="AU4" s="157">
        <f t="shared" si="6"/>
        <v>73180.800000000003</v>
      </c>
      <c r="AV4" s="158"/>
      <c r="AW4" s="158"/>
      <c r="AX4" s="158"/>
      <c r="AY4" s="159"/>
      <c r="AZ4" s="159"/>
      <c r="BA4" s="160" t="str">
        <f>INDEX(check!$D$6:$F$7,MATCH(AUGUST!L4,check!$C$6:$C$7,0),MATCH(AUGUST!I4,check!$D$5:$F$5,0))</f>
        <v>System Booking</v>
      </c>
      <c r="BB4" s="160" t="str">
        <f t="shared" ref="BB4" si="7">IF(AND(BA4="C2C Dropship",LEFT(Q4,4)="1297"),"B2C DropShip",IF(AND(BA4="C2C",LEFT(Q4,4)="1327"),"B2C DropShip",BA4))</f>
        <v>System Booking</v>
      </c>
    </row>
    <row r="6" spans="1:54" ht="18.25" customHeight="1" x14ac:dyDescent="0.35">
      <c r="AN6" s="89" cm="1">
        <f t="array" ref="AN6">INDEX('Bảng giá '!A2:I20,MATCH(AUGUST!AF4,'Bảng giá '!A3:A20,0),MATCH(MIN(CEILING(AUGUST!AL4,0.5),3),'Bảng giá '!A2:I2,0)+MAX(CEILING(AUGUST!AL4,0.5)-3,0)/0.5*VLOOKUP(AUGUST!AF4,'Bảng giá '!A2:I20,8,0))</f>
        <v>47520</v>
      </c>
      <c r="AO6" s="89">
        <f>IF(LEFT(M4,3)="Trả",VLOOKUP(AF4,'Bảng giá '!A2:I20,9,0)*AUGUST!AN4,0)</f>
        <v>19008</v>
      </c>
    </row>
    <row r="7" spans="1:54" ht="18.25" customHeight="1" x14ac:dyDescent="0.35">
      <c r="AO7" s="89">
        <f>IF(LEFT(M4,3)="Trả",VLOOKUP(AF4,'Bảng giá '!A2:I20,9,0)*AUGUST!AN4)</f>
        <v>19008</v>
      </c>
    </row>
    <row r="8" spans="1:54" ht="18.25" customHeight="1" x14ac:dyDescent="0.35">
      <c r="Z8" s="88" t="s">
        <v>3489</v>
      </c>
      <c r="AA8" s="200" t="s">
        <v>3488</v>
      </c>
      <c r="AN8" s="89">
        <f>CEILING(AL4,0.5)</f>
        <v>1.5</v>
      </c>
    </row>
    <row r="11" spans="1:54" ht="18.25" customHeight="1" x14ac:dyDescent="0.35">
      <c r="AA11" s="200" t="s">
        <v>3487</v>
      </c>
    </row>
  </sheetData>
  <autoFilter ref="A2:BB4" xr:uid="{00000000-0009-0000-0000-000000000000}"/>
  <pageMargins left="0.7" right="0.7" top="0.75" bottom="0.75" header="0.3" footer="0.3"/>
  <pageSetup paperSize="9" orientation="portrait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AF773"/>
  <sheetViews>
    <sheetView topLeftCell="A7" zoomScale="106" zoomScaleNormal="106" workbookViewId="0">
      <selection activeCell="G2" sqref="G2"/>
    </sheetView>
  </sheetViews>
  <sheetFormatPr defaultColWidth="8.7265625" defaultRowHeight="11.5" x14ac:dyDescent="0.35"/>
  <cols>
    <col min="1" max="1" width="31.26953125" style="39" customWidth="1"/>
    <col min="2" max="2" width="20" style="54" bestFit="1" customWidth="1"/>
    <col min="3" max="3" width="13.54296875" style="54" customWidth="1"/>
    <col min="4" max="4" width="16" style="54" customWidth="1"/>
    <col min="5" max="5" width="13.54296875" style="54" customWidth="1"/>
    <col min="6" max="6" width="14" style="54" customWidth="1"/>
    <col min="7" max="7" width="18.453125" style="54" customWidth="1"/>
    <col min="8" max="8" width="10.81640625" style="54" customWidth="1"/>
    <col min="9" max="9" width="9.54296875" style="54" bestFit="1" customWidth="1"/>
    <col min="10" max="10" width="3.54296875" style="39" customWidth="1"/>
    <col min="11" max="11" width="28.54296875" style="39" bestFit="1" customWidth="1"/>
    <col min="12" max="12" width="20.54296875" style="39" bestFit="1" customWidth="1"/>
    <col min="13" max="13" width="11.1796875" style="39" bestFit="1" customWidth="1"/>
    <col min="14" max="14" width="12.453125" style="39" customWidth="1"/>
    <col min="15" max="15" width="16.26953125" style="39" bestFit="1" customWidth="1"/>
    <col min="16" max="16" width="8.1796875" style="39" bestFit="1" customWidth="1"/>
    <col min="17" max="17" width="10.54296875" style="39" bestFit="1" customWidth="1"/>
    <col min="18" max="18" width="4.1796875" style="39" customWidth="1"/>
    <col min="19" max="19" width="15.453125" style="39" bestFit="1" customWidth="1"/>
    <col min="20" max="20" width="10.54296875" style="39" bestFit="1" customWidth="1"/>
    <col min="21" max="21" width="4" style="39" customWidth="1"/>
    <col min="22" max="22" width="9.453125" style="39" bestFit="1" customWidth="1"/>
    <col min="23" max="23" width="42.81640625" style="39" customWidth="1"/>
    <col min="24" max="24" width="32.453125" style="39" customWidth="1"/>
    <col min="25" max="25" width="51.1796875" style="39" customWidth="1"/>
    <col min="26" max="26" width="40.26953125" style="39" customWidth="1"/>
    <col min="27" max="27" width="16.26953125" style="39" customWidth="1"/>
    <col min="28" max="28" width="10.453125" style="39" bestFit="1" customWidth="1"/>
    <col min="29" max="29" width="4" style="39" customWidth="1"/>
    <col min="30" max="30" width="37.1796875" style="39" customWidth="1"/>
    <col min="31" max="31" width="10.54296875" style="39" bestFit="1" customWidth="1"/>
    <col min="32" max="16384" width="8.7265625" style="39"/>
  </cols>
  <sheetData>
    <row r="1" spans="1:31" s="30" customFormat="1" ht="12" thickBot="1" x14ac:dyDescent="0.4">
      <c r="A1" s="194" t="s">
        <v>2365</v>
      </c>
      <c r="B1" s="195"/>
      <c r="C1" s="195"/>
      <c r="D1" s="195"/>
      <c r="E1" s="195"/>
      <c r="F1" s="195"/>
      <c r="G1" s="195"/>
      <c r="H1" s="195"/>
      <c r="I1" s="196"/>
      <c r="K1" s="31" t="s">
        <v>3175</v>
      </c>
      <c r="L1" s="32" t="s">
        <v>16</v>
      </c>
      <c r="M1" s="32" t="s">
        <v>3174</v>
      </c>
      <c r="N1" s="32" t="s">
        <v>3137</v>
      </c>
      <c r="O1" s="32" t="s">
        <v>2368</v>
      </c>
      <c r="P1" s="32" t="s">
        <v>3138</v>
      </c>
      <c r="Q1" s="33" t="s">
        <v>795</v>
      </c>
      <c r="S1" s="34" t="s">
        <v>800</v>
      </c>
      <c r="T1" s="35" t="s">
        <v>795</v>
      </c>
      <c r="V1" s="34" t="s">
        <v>1350</v>
      </c>
      <c r="W1" s="36" t="s">
        <v>2361</v>
      </c>
      <c r="X1" s="36" t="s">
        <v>2362</v>
      </c>
      <c r="Y1" s="36" t="s">
        <v>2363</v>
      </c>
      <c r="Z1" s="36" t="s">
        <v>16</v>
      </c>
      <c r="AA1" s="36" t="s">
        <v>504</v>
      </c>
      <c r="AB1" s="35" t="s">
        <v>505</v>
      </c>
      <c r="AD1" s="34" t="s">
        <v>2360</v>
      </c>
      <c r="AE1" s="35" t="s">
        <v>795</v>
      </c>
    </row>
    <row r="2" spans="1:31" x14ac:dyDescent="0.25">
      <c r="A2" s="34" t="s">
        <v>1344</v>
      </c>
      <c r="B2" s="161">
        <v>0.5</v>
      </c>
      <c r="C2" s="161">
        <v>1</v>
      </c>
      <c r="D2" s="161">
        <v>1.5</v>
      </c>
      <c r="E2" s="161">
        <v>2</v>
      </c>
      <c r="F2" s="161">
        <v>2.5</v>
      </c>
      <c r="G2" s="161">
        <v>3</v>
      </c>
      <c r="H2" s="162" t="s">
        <v>1298</v>
      </c>
      <c r="I2" s="163" t="s">
        <v>1333</v>
      </c>
      <c r="K2" s="40" t="s">
        <v>749</v>
      </c>
      <c r="L2" s="41" t="s">
        <v>1346</v>
      </c>
      <c r="M2" s="41" t="s">
        <v>500</v>
      </c>
      <c r="N2" s="41" t="s">
        <v>3142</v>
      </c>
      <c r="O2" s="41" t="s">
        <v>2369</v>
      </c>
      <c r="P2" s="41" t="s">
        <v>3145</v>
      </c>
      <c r="Q2" s="42" t="s">
        <v>500</v>
      </c>
      <c r="S2" s="43" t="s">
        <v>540</v>
      </c>
      <c r="T2" s="44" t="s">
        <v>767</v>
      </c>
      <c r="V2" s="43">
        <v>1454</v>
      </c>
      <c r="W2" s="45" t="s">
        <v>1351</v>
      </c>
      <c r="X2" s="45" t="s">
        <v>935</v>
      </c>
      <c r="Y2" s="45" t="s">
        <v>2364</v>
      </c>
      <c r="Z2" s="45" t="s">
        <v>392</v>
      </c>
      <c r="AA2" s="45" t="s">
        <v>555</v>
      </c>
      <c r="AB2" s="44" t="s">
        <v>1341</v>
      </c>
      <c r="AD2" s="46" t="s">
        <v>820</v>
      </c>
      <c r="AE2" s="47" t="s">
        <v>506</v>
      </c>
    </row>
    <row r="3" spans="1:31" ht="17.25" customHeight="1" x14ac:dyDescent="0.25">
      <c r="A3" s="111" t="s">
        <v>3353</v>
      </c>
      <c r="B3" s="48">
        <v>11340</v>
      </c>
      <c r="C3" s="48">
        <v>11340</v>
      </c>
      <c r="D3" s="48">
        <v>11340</v>
      </c>
      <c r="E3" s="48">
        <v>11340</v>
      </c>
      <c r="F3" s="48">
        <v>11340</v>
      </c>
      <c r="G3" s="48">
        <v>11340</v>
      </c>
      <c r="H3" s="48">
        <v>1418</v>
      </c>
      <c r="I3" s="49">
        <v>0</v>
      </c>
      <c r="K3" s="40" t="s">
        <v>813</v>
      </c>
      <c r="L3" s="41" t="s">
        <v>1346</v>
      </c>
      <c r="M3" s="41" t="s">
        <v>519</v>
      </c>
      <c r="N3" s="41" t="s">
        <v>3142</v>
      </c>
      <c r="O3" s="41" t="s">
        <v>2369</v>
      </c>
      <c r="P3" s="41" t="s">
        <v>3145</v>
      </c>
      <c r="Q3" s="42" t="s">
        <v>1343</v>
      </c>
      <c r="S3" s="43" t="s">
        <v>801</v>
      </c>
      <c r="T3" s="44" t="s">
        <v>767</v>
      </c>
      <c r="V3" s="43">
        <v>1192</v>
      </c>
      <c r="W3" s="45" t="s">
        <v>1352</v>
      </c>
      <c r="X3" s="45" t="s">
        <v>936</v>
      </c>
      <c r="Y3" s="45" t="s">
        <v>3115</v>
      </c>
      <c r="Z3" s="45" t="s">
        <v>792</v>
      </c>
      <c r="AA3" s="45" t="s">
        <v>559</v>
      </c>
      <c r="AB3" s="44" t="s">
        <v>1341</v>
      </c>
      <c r="AD3" s="46" t="s">
        <v>821</v>
      </c>
      <c r="AE3" s="47" t="s">
        <v>506</v>
      </c>
    </row>
    <row r="4" spans="1:31" ht="17.25" customHeight="1" x14ac:dyDescent="0.25">
      <c r="A4" s="81" t="s">
        <v>3334</v>
      </c>
      <c r="B4" s="48">
        <v>13230</v>
      </c>
      <c r="C4" s="48">
        <v>13230</v>
      </c>
      <c r="D4" s="48">
        <v>13230</v>
      </c>
      <c r="E4" s="48">
        <v>13230</v>
      </c>
      <c r="F4" s="48">
        <v>13230</v>
      </c>
      <c r="G4" s="48">
        <v>13230</v>
      </c>
      <c r="H4" s="48">
        <v>1418</v>
      </c>
      <c r="I4" s="49">
        <v>0</v>
      </c>
      <c r="K4" s="40" t="s">
        <v>756</v>
      </c>
      <c r="L4" s="41" t="s">
        <v>2398</v>
      </c>
      <c r="M4" s="41" t="s">
        <v>507</v>
      </c>
      <c r="N4" s="41" t="s">
        <v>3142</v>
      </c>
      <c r="O4" s="41" t="s">
        <v>2369</v>
      </c>
      <c r="P4" s="41" t="s">
        <v>3140</v>
      </c>
      <c r="Q4" s="42" t="s">
        <v>15</v>
      </c>
      <c r="S4" s="43" t="s">
        <v>512</v>
      </c>
      <c r="T4" s="44" t="s">
        <v>802</v>
      </c>
      <c r="V4" s="43">
        <v>1961</v>
      </c>
      <c r="W4" s="45" t="s">
        <v>1353</v>
      </c>
      <c r="X4" s="45" t="s">
        <v>937</v>
      </c>
      <c r="Y4" s="45" t="s">
        <v>3122</v>
      </c>
      <c r="Z4" s="45" t="s">
        <v>792</v>
      </c>
      <c r="AA4" s="45" t="s">
        <v>559</v>
      </c>
      <c r="AB4" s="44" t="s">
        <v>1341</v>
      </c>
      <c r="AD4" s="46" t="s">
        <v>822</v>
      </c>
      <c r="AE4" s="47" t="s">
        <v>506</v>
      </c>
    </row>
    <row r="5" spans="1:31" ht="17.25" customHeight="1" x14ac:dyDescent="0.25">
      <c r="A5" s="81" t="s">
        <v>3335</v>
      </c>
      <c r="B5" s="48">
        <v>15120</v>
      </c>
      <c r="C5" s="48">
        <v>15120</v>
      </c>
      <c r="D5" s="48">
        <v>15120</v>
      </c>
      <c r="E5" s="48">
        <v>15120</v>
      </c>
      <c r="F5" s="48">
        <v>15120</v>
      </c>
      <c r="G5" s="48">
        <v>15120</v>
      </c>
      <c r="H5" s="48">
        <v>1418</v>
      </c>
      <c r="I5" s="49">
        <v>0</v>
      </c>
      <c r="K5" s="40" t="s">
        <v>55</v>
      </c>
      <c r="L5" s="41" t="s">
        <v>2399</v>
      </c>
      <c r="M5" s="41" t="s">
        <v>506</v>
      </c>
      <c r="N5" s="41" t="s">
        <v>3142</v>
      </c>
      <c r="O5" s="41" t="s">
        <v>2369</v>
      </c>
      <c r="P5" s="41" t="s">
        <v>3152</v>
      </c>
      <c r="Q5" s="42" t="s">
        <v>506</v>
      </c>
      <c r="S5" s="43" t="s">
        <v>510</v>
      </c>
      <c r="T5" s="44" t="s">
        <v>802</v>
      </c>
      <c r="V5" s="43">
        <v>1126</v>
      </c>
      <c r="W5" s="45" t="s">
        <v>1354</v>
      </c>
      <c r="X5" s="45" t="s">
        <v>1106</v>
      </c>
      <c r="Y5" s="45" t="s">
        <v>1355</v>
      </c>
      <c r="Z5" s="45" t="s">
        <v>2313</v>
      </c>
      <c r="AA5" s="45" t="s">
        <v>536</v>
      </c>
      <c r="AB5" s="44" t="s">
        <v>1342</v>
      </c>
      <c r="AD5" s="46" t="s">
        <v>823</v>
      </c>
      <c r="AE5" s="47" t="s">
        <v>506</v>
      </c>
    </row>
    <row r="6" spans="1:31" ht="17.25" customHeight="1" x14ac:dyDescent="0.25">
      <c r="A6" s="81" t="s">
        <v>3336</v>
      </c>
      <c r="B6" s="48">
        <v>13500</v>
      </c>
      <c r="C6" s="48">
        <v>13500</v>
      </c>
      <c r="D6" s="48">
        <v>13500</v>
      </c>
      <c r="E6" s="48">
        <v>13500</v>
      </c>
      <c r="F6" s="48">
        <v>13500</v>
      </c>
      <c r="G6" s="48">
        <v>13500</v>
      </c>
      <c r="H6" s="48">
        <v>1500</v>
      </c>
      <c r="I6" s="109">
        <v>0.4</v>
      </c>
      <c r="K6" s="40" t="s">
        <v>35</v>
      </c>
      <c r="L6" s="41" t="s">
        <v>2400</v>
      </c>
      <c r="M6" s="41" t="s">
        <v>506</v>
      </c>
      <c r="N6" s="41" t="s">
        <v>3142</v>
      </c>
      <c r="O6" s="41" t="s">
        <v>2369</v>
      </c>
      <c r="P6" s="41" t="s">
        <v>3152</v>
      </c>
      <c r="Q6" s="42" t="s">
        <v>506</v>
      </c>
      <c r="S6" s="43" t="s">
        <v>542</v>
      </c>
      <c r="T6" s="44" t="s">
        <v>767</v>
      </c>
      <c r="V6" s="43">
        <v>2323</v>
      </c>
      <c r="W6" s="45" t="s">
        <v>1356</v>
      </c>
      <c r="X6" s="45" t="s">
        <v>1132</v>
      </c>
      <c r="Y6" s="45" t="s">
        <v>1357</v>
      </c>
      <c r="Z6" s="45" t="s">
        <v>571</v>
      </c>
      <c r="AA6" s="45" t="s">
        <v>499</v>
      </c>
      <c r="AB6" s="44" t="s">
        <v>1343</v>
      </c>
      <c r="AD6" s="46" t="s">
        <v>824</v>
      </c>
      <c r="AE6" s="47" t="s">
        <v>506</v>
      </c>
    </row>
    <row r="7" spans="1:31" ht="17.25" customHeight="1" x14ac:dyDescent="0.25">
      <c r="A7" s="81" t="s">
        <v>3337</v>
      </c>
      <c r="B7" s="48">
        <v>17250</v>
      </c>
      <c r="C7" s="48">
        <v>17250</v>
      </c>
      <c r="D7" s="48">
        <v>17250</v>
      </c>
      <c r="E7" s="48">
        <v>17250</v>
      </c>
      <c r="F7" s="48">
        <v>17250</v>
      </c>
      <c r="G7" s="48">
        <v>17250</v>
      </c>
      <c r="H7" s="48">
        <v>1500</v>
      </c>
      <c r="I7" s="109">
        <v>0.4</v>
      </c>
      <c r="K7" s="40" t="s">
        <v>32</v>
      </c>
      <c r="L7" s="41" t="s">
        <v>2401</v>
      </c>
      <c r="M7" s="41" t="s">
        <v>506</v>
      </c>
      <c r="N7" s="41" t="s">
        <v>3142</v>
      </c>
      <c r="O7" s="41" t="s">
        <v>2369</v>
      </c>
      <c r="P7" s="41" t="s">
        <v>3152</v>
      </c>
      <c r="Q7" s="42" t="s">
        <v>506</v>
      </c>
      <c r="S7" s="43" t="s">
        <v>509</v>
      </c>
      <c r="T7" s="44" t="s">
        <v>802</v>
      </c>
      <c r="V7" s="43">
        <v>1113</v>
      </c>
      <c r="W7" s="45" t="s">
        <v>1358</v>
      </c>
      <c r="X7" s="45" t="s">
        <v>1157</v>
      </c>
      <c r="Y7" s="45" t="s">
        <v>1359</v>
      </c>
      <c r="Z7" s="45" t="s">
        <v>2314</v>
      </c>
      <c r="AA7" s="45" t="s">
        <v>530</v>
      </c>
      <c r="AB7" s="44" t="s">
        <v>1343</v>
      </c>
      <c r="AD7" s="46" t="s">
        <v>825</v>
      </c>
      <c r="AE7" s="47" t="s">
        <v>506</v>
      </c>
    </row>
    <row r="8" spans="1:31" ht="17.25" customHeight="1" x14ac:dyDescent="0.25">
      <c r="A8" s="81" t="s">
        <v>3338</v>
      </c>
      <c r="B8" s="48">
        <v>17250</v>
      </c>
      <c r="C8" s="48">
        <v>17250</v>
      </c>
      <c r="D8" s="48">
        <v>17250</v>
      </c>
      <c r="E8" s="48">
        <v>17250</v>
      </c>
      <c r="F8" s="48">
        <v>17250</v>
      </c>
      <c r="G8" s="48">
        <v>17250</v>
      </c>
      <c r="H8" s="48">
        <v>1500</v>
      </c>
      <c r="I8" s="109">
        <v>0.4</v>
      </c>
      <c r="K8" s="40" t="s">
        <v>93</v>
      </c>
      <c r="L8" s="41" t="s">
        <v>2402</v>
      </c>
      <c r="M8" s="41" t="s">
        <v>506</v>
      </c>
      <c r="N8" s="41" t="s">
        <v>3142</v>
      </c>
      <c r="O8" s="41" t="s">
        <v>2369</v>
      </c>
      <c r="P8" s="41" t="s">
        <v>3152</v>
      </c>
      <c r="Q8" s="42" t="s">
        <v>506</v>
      </c>
      <c r="S8" s="43" t="s">
        <v>543</v>
      </c>
      <c r="T8" s="44" t="s">
        <v>767</v>
      </c>
      <c r="V8" s="43">
        <v>1333</v>
      </c>
      <c r="W8" s="45" t="s">
        <v>1360</v>
      </c>
      <c r="X8" s="45" t="s">
        <v>891</v>
      </c>
      <c r="Y8" s="45" t="s">
        <v>3116</v>
      </c>
      <c r="Z8" s="45" t="s">
        <v>123</v>
      </c>
      <c r="AA8" s="45" t="s">
        <v>507</v>
      </c>
      <c r="AB8" s="44" t="s">
        <v>15</v>
      </c>
      <c r="AD8" s="46" t="s">
        <v>826</v>
      </c>
      <c r="AE8" s="47" t="s">
        <v>500</v>
      </c>
    </row>
    <row r="9" spans="1:31" ht="17.25" customHeight="1" x14ac:dyDescent="0.25">
      <c r="A9" s="81" t="s">
        <v>3339</v>
      </c>
      <c r="B9" s="48">
        <v>13500</v>
      </c>
      <c r="C9" s="48">
        <v>13500</v>
      </c>
      <c r="D9" s="48">
        <v>13500</v>
      </c>
      <c r="E9" s="48">
        <v>13500</v>
      </c>
      <c r="F9" s="48">
        <v>13500</v>
      </c>
      <c r="G9" s="48">
        <v>13500</v>
      </c>
      <c r="H9" s="48">
        <v>1500</v>
      </c>
      <c r="I9" s="109">
        <v>0.4</v>
      </c>
      <c r="K9" s="40" t="s">
        <v>48</v>
      </c>
      <c r="L9" s="41" t="s">
        <v>2403</v>
      </c>
      <c r="M9" s="41" t="s">
        <v>506</v>
      </c>
      <c r="N9" s="41" t="s">
        <v>3142</v>
      </c>
      <c r="O9" s="41" t="s">
        <v>2369</v>
      </c>
      <c r="P9" s="41" t="s">
        <v>3152</v>
      </c>
      <c r="Q9" s="42" t="s">
        <v>506</v>
      </c>
      <c r="S9" s="43" t="s">
        <v>545</v>
      </c>
      <c r="T9" s="44" t="s">
        <v>767</v>
      </c>
      <c r="V9" s="43">
        <v>1072</v>
      </c>
      <c r="W9" s="45" t="s">
        <v>1361</v>
      </c>
      <c r="X9" s="45" t="s">
        <v>974</v>
      </c>
      <c r="Y9" s="45" t="s">
        <v>1362</v>
      </c>
      <c r="Z9" s="45" t="s">
        <v>2315</v>
      </c>
      <c r="AA9" s="45" t="s">
        <v>713</v>
      </c>
      <c r="AB9" s="44" t="s">
        <v>1341</v>
      </c>
      <c r="AD9" s="46" t="s">
        <v>827</v>
      </c>
      <c r="AE9" s="47" t="s">
        <v>500</v>
      </c>
    </row>
    <row r="10" spans="1:31" ht="17.25" customHeight="1" x14ac:dyDescent="0.25">
      <c r="A10" s="81" t="s">
        <v>3340</v>
      </c>
      <c r="B10" s="48">
        <v>17250</v>
      </c>
      <c r="C10" s="48">
        <v>17250</v>
      </c>
      <c r="D10" s="48">
        <v>17250</v>
      </c>
      <c r="E10" s="48">
        <v>17250</v>
      </c>
      <c r="F10" s="48">
        <v>17250</v>
      </c>
      <c r="G10" s="48">
        <v>17250</v>
      </c>
      <c r="H10" s="48">
        <v>1500</v>
      </c>
      <c r="I10" s="109">
        <v>0.4</v>
      </c>
      <c r="K10" s="40" t="s">
        <v>91</v>
      </c>
      <c r="L10" s="41" t="s">
        <v>2404</v>
      </c>
      <c r="M10" s="41" t="s">
        <v>506</v>
      </c>
      <c r="N10" s="41" t="s">
        <v>3142</v>
      </c>
      <c r="O10" s="41" t="s">
        <v>2369</v>
      </c>
      <c r="P10" s="41" t="s">
        <v>3152</v>
      </c>
      <c r="Q10" s="42" t="s">
        <v>506</v>
      </c>
      <c r="S10" s="43" t="s">
        <v>544</v>
      </c>
      <c r="T10" s="44" t="s">
        <v>767</v>
      </c>
      <c r="V10" s="43">
        <v>2439</v>
      </c>
      <c r="W10" s="45" t="s">
        <v>1363</v>
      </c>
      <c r="X10" s="45" t="s">
        <v>913</v>
      </c>
      <c r="Y10" s="45" t="s">
        <v>1364</v>
      </c>
      <c r="Z10" s="45" t="s">
        <v>110</v>
      </c>
      <c r="AA10" s="45" t="s">
        <v>507</v>
      </c>
      <c r="AB10" s="44" t="s">
        <v>15</v>
      </c>
      <c r="AD10" s="46" t="s">
        <v>828</v>
      </c>
      <c r="AE10" s="47" t="s">
        <v>500</v>
      </c>
    </row>
    <row r="11" spans="1:31" ht="17.25" customHeight="1" x14ac:dyDescent="0.25">
      <c r="A11" s="81" t="s">
        <v>3341</v>
      </c>
      <c r="B11" s="48">
        <v>17250</v>
      </c>
      <c r="C11" s="48">
        <v>17250</v>
      </c>
      <c r="D11" s="48">
        <v>17250</v>
      </c>
      <c r="E11" s="48">
        <v>17250</v>
      </c>
      <c r="F11" s="48">
        <v>17250</v>
      </c>
      <c r="G11" s="48">
        <v>17250</v>
      </c>
      <c r="H11" s="48">
        <v>1500</v>
      </c>
      <c r="I11" s="109">
        <v>0.4</v>
      </c>
      <c r="K11" s="40" t="s">
        <v>200</v>
      </c>
      <c r="L11" s="41" t="s">
        <v>2405</v>
      </c>
      <c r="M11" s="41" t="s">
        <v>506</v>
      </c>
      <c r="N11" s="41" t="s">
        <v>3139</v>
      </c>
      <c r="O11" s="41" t="s">
        <v>2369</v>
      </c>
      <c r="P11" s="41" t="s">
        <v>3152</v>
      </c>
      <c r="Q11" s="42" t="s">
        <v>506</v>
      </c>
      <c r="S11" s="43" t="s">
        <v>546</v>
      </c>
      <c r="T11" s="44" t="s">
        <v>767</v>
      </c>
      <c r="V11" s="43">
        <v>1326</v>
      </c>
      <c r="W11" s="45" t="s">
        <v>1365</v>
      </c>
      <c r="X11" s="45" t="s">
        <v>934</v>
      </c>
      <c r="Y11" s="45" t="s">
        <v>3298</v>
      </c>
      <c r="Z11" s="45" t="s">
        <v>131</v>
      </c>
      <c r="AA11" s="45" t="s">
        <v>507</v>
      </c>
      <c r="AB11" s="44" t="s">
        <v>15</v>
      </c>
      <c r="AD11" s="46" t="s">
        <v>829</v>
      </c>
      <c r="AE11" s="47" t="s">
        <v>500</v>
      </c>
    </row>
    <row r="12" spans="1:31" ht="17.25" customHeight="1" x14ac:dyDescent="0.25">
      <c r="A12" s="81" t="s">
        <v>3342</v>
      </c>
      <c r="B12" s="48">
        <v>27000</v>
      </c>
      <c r="C12" s="48">
        <v>38700</v>
      </c>
      <c r="D12" s="48">
        <v>50400</v>
      </c>
      <c r="E12" s="48">
        <v>62100</v>
      </c>
      <c r="F12" s="48">
        <v>73800</v>
      </c>
      <c r="G12" s="48">
        <v>85500</v>
      </c>
      <c r="H12" s="48">
        <v>6000</v>
      </c>
      <c r="I12" s="109">
        <v>0.4</v>
      </c>
      <c r="K12" s="40" t="s">
        <v>34</v>
      </c>
      <c r="L12" s="41" t="s">
        <v>2406</v>
      </c>
      <c r="M12" s="41" t="s">
        <v>500</v>
      </c>
      <c r="N12" s="41" t="s">
        <v>3142</v>
      </c>
      <c r="O12" s="41" t="s">
        <v>2369</v>
      </c>
      <c r="P12" s="41" t="s">
        <v>3145</v>
      </c>
      <c r="Q12" s="42" t="s">
        <v>500</v>
      </c>
      <c r="S12" s="43" t="s">
        <v>547</v>
      </c>
      <c r="T12" s="44" t="s">
        <v>767</v>
      </c>
      <c r="V12" s="43">
        <v>1407</v>
      </c>
      <c r="W12" s="45" t="s">
        <v>1366</v>
      </c>
      <c r="X12" s="45" t="s">
        <v>996</v>
      </c>
      <c r="Y12" s="45" t="s">
        <v>1367</v>
      </c>
      <c r="Z12" s="45" t="s">
        <v>367</v>
      </c>
      <c r="AA12" s="45" t="s">
        <v>502</v>
      </c>
      <c r="AB12" s="44" t="s">
        <v>1341</v>
      </c>
      <c r="AD12" s="46" t="s">
        <v>830</v>
      </c>
      <c r="AE12" s="47" t="s">
        <v>500</v>
      </c>
    </row>
    <row r="13" spans="1:31" ht="17.25" customHeight="1" x14ac:dyDescent="0.25">
      <c r="A13" s="81" t="s">
        <v>3343</v>
      </c>
      <c r="B13" s="48">
        <v>29700</v>
      </c>
      <c r="C13" s="48">
        <v>41400</v>
      </c>
      <c r="D13" s="48">
        <v>53100</v>
      </c>
      <c r="E13" s="48">
        <v>64800</v>
      </c>
      <c r="F13" s="48">
        <v>76500</v>
      </c>
      <c r="G13" s="48">
        <v>88200</v>
      </c>
      <c r="H13" s="48">
        <v>6000</v>
      </c>
      <c r="I13" s="109">
        <v>0.4</v>
      </c>
      <c r="K13" s="40" t="s">
        <v>27</v>
      </c>
      <c r="L13" s="41" t="s">
        <v>2407</v>
      </c>
      <c r="M13" s="41" t="s">
        <v>500</v>
      </c>
      <c r="N13" s="41" t="s">
        <v>3142</v>
      </c>
      <c r="O13" s="41" t="s">
        <v>2369</v>
      </c>
      <c r="P13" s="41" t="s">
        <v>3145</v>
      </c>
      <c r="Q13" s="42" t="s">
        <v>500</v>
      </c>
      <c r="S13" s="43" t="s">
        <v>548</v>
      </c>
      <c r="T13" s="44" t="s">
        <v>767</v>
      </c>
      <c r="V13" s="43">
        <v>1065</v>
      </c>
      <c r="W13" s="45" t="s">
        <v>1368</v>
      </c>
      <c r="X13" s="45" t="s">
        <v>938</v>
      </c>
      <c r="Y13" s="45" t="s">
        <v>1369</v>
      </c>
      <c r="Z13" s="45" t="s">
        <v>2316</v>
      </c>
      <c r="AA13" s="45" t="s">
        <v>544</v>
      </c>
      <c r="AB13" s="44" t="s">
        <v>1341</v>
      </c>
      <c r="AD13" s="46" t="s">
        <v>831</v>
      </c>
      <c r="AE13" s="47" t="s">
        <v>500</v>
      </c>
    </row>
    <row r="14" spans="1:31" ht="17.25" customHeight="1" x14ac:dyDescent="0.25">
      <c r="A14" s="81" t="s">
        <v>3344</v>
      </c>
      <c r="B14" s="48">
        <v>29700</v>
      </c>
      <c r="C14" s="48">
        <v>41400</v>
      </c>
      <c r="D14" s="48">
        <v>53100</v>
      </c>
      <c r="E14" s="48">
        <v>64800</v>
      </c>
      <c r="F14" s="48">
        <v>76500</v>
      </c>
      <c r="G14" s="48">
        <v>88200</v>
      </c>
      <c r="H14" s="48">
        <v>6000</v>
      </c>
      <c r="I14" s="109">
        <v>0.4</v>
      </c>
      <c r="K14" s="40" t="s">
        <v>47</v>
      </c>
      <c r="L14" s="41" t="s">
        <v>2408</v>
      </c>
      <c r="M14" s="41" t="s">
        <v>500</v>
      </c>
      <c r="N14" s="41" t="s">
        <v>3142</v>
      </c>
      <c r="O14" s="41" t="s">
        <v>2369</v>
      </c>
      <c r="P14" s="41" t="s">
        <v>3145</v>
      </c>
      <c r="Q14" s="42" t="s">
        <v>500</v>
      </c>
      <c r="S14" s="43" t="s">
        <v>549</v>
      </c>
      <c r="T14" s="44" t="s">
        <v>767</v>
      </c>
      <c r="V14" s="43">
        <v>2418</v>
      </c>
      <c r="W14" s="45" t="s">
        <v>1370</v>
      </c>
      <c r="X14" s="45" t="s">
        <v>939</v>
      </c>
      <c r="Y14" s="45" t="s">
        <v>1371</v>
      </c>
      <c r="Z14" s="45" t="s">
        <v>90</v>
      </c>
      <c r="AA14" s="45" t="s">
        <v>544</v>
      </c>
      <c r="AB14" s="44" t="s">
        <v>1341</v>
      </c>
      <c r="AD14" s="46" t="s">
        <v>832</v>
      </c>
      <c r="AE14" s="47" t="s">
        <v>500</v>
      </c>
    </row>
    <row r="15" spans="1:31" ht="17.25" customHeight="1" x14ac:dyDescent="0.25">
      <c r="A15" s="81" t="s">
        <v>3345</v>
      </c>
      <c r="B15" s="48">
        <v>28800</v>
      </c>
      <c r="C15" s="48">
        <v>38160</v>
      </c>
      <c r="D15" s="48">
        <v>47520</v>
      </c>
      <c r="E15" s="48">
        <v>56880</v>
      </c>
      <c r="F15" s="48">
        <v>66240</v>
      </c>
      <c r="G15" s="48">
        <v>75600</v>
      </c>
      <c r="H15" s="48">
        <v>6400</v>
      </c>
      <c r="I15" s="109">
        <v>0.4</v>
      </c>
      <c r="K15" s="40" t="s">
        <v>76</v>
      </c>
      <c r="L15" s="41" t="s">
        <v>2409</v>
      </c>
      <c r="M15" s="41" t="s">
        <v>500</v>
      </c>
      <c r="N15" s="41" t="s">
        <v>3141</v>
      </c>
      <c r="O15" s="41" t="s">
        <v>2369</v>
      </c>
      <c r="P15" s="41" t="s">
        <v>3145</v>
      </c>
      <c r="Q15" s="42" t="s">
        <v>500</v>
      </c>
      <c r="S15" s="43" t="s">
        <v>514</v>
      </c>
      <c r="T15" s="44" t="s">
        <v>802</v>
      </c>
      <c r="V15" s="43">
        <v>1538</v>
      </c>
      <c r="W15" s="45" t="s">
        <v>1372</v>
      </c>
      <c r="X15" s="45" t="s">
        <v>940</v>
      </c>
      <c r="Y15" s="45" t="s">
        <v>1373</v>
      </c>
      <c r="Z15" s="45" t="s">
        <v>2316</v>
      </c>
      <c r="AA15" s="45" t="s">
        <v>544</v>
      </c>
      <c r="AB15" s="44" t="s">
        <v>1341</v>
      </c>
      <c r="AD15" s="46" t="s">
        <v>833</v>
      </c>
      <c r="AE15" s="47" t="s">
        <v>500</v>
      </c>
    </row>
    <row r="16" spans="1:31" ht="17.25" customHeight="1" x14ac:dyDescent="0.25">
      <c r="A16" s="81" t="s">
        <v>3346</v>
      </c>
      <c r="B16" s="48">
        <v>28800</v>
      </c>
      <c r="C16" s="48">
        <v>38160</v>
      </c>
      <c r="D16" s="48">
        <v>47520</v>
      </c>
      <c r="E16" s="48">
        <v>56880</v>
      </c>
      <c r="F16" s="48">
        <v>66240</v>
      </c>
      <c r="G16" s="48">
        <v>75600</v>
      </c>
      <c r="H16" s="48">
        <v>6400</v>
      </c>
      <c r="I16" s="109">
        <v>0.4</v>
      </c>
      <c r="K16" s="40" t="s">
        <v>51</v>
      </c>
      <c r="L16" s="41" t="s">
        <v>2410</v>
      </c>
      <c r="M16" s="41" t="s">
        <v>500</v>
      </c>
      <c r="N16" s="41" t="s">
        <v>3142</v>
      </c>
      <c r="O16" s="41" t="s">
        <v>2369</v>
      </c>
      <c r="P16" s="41" t="s">
        <v>3145</v>
      </c>
      <c r="Q16" s="42" t="s">
        <v>500</v>
      </c>
      <c r="S16" s="43" t="s">
        <v>506</v>
      </c>
      <c r="T16" s="44" t="s">
        <v>506</v>
      </c>
      <c r="V16" s="43">
        <v>1206</v>
      </c>
      <c r="W16" s="45" t="s">
        <v>1374</v>
      </c>
      <c r="X16" s="45" t="s">
        <v>1133</v>
      </c>
      <c r="Y16" s="45" t="s">
        <v>1375</v>
      </c>
      <c r="Z16" s="45" t="s">
        <v>86</v>
      </c>
      <c r="AA16" s="45" t="s">
        <v>513</v>
      </c>
      <c r="AB16" s="44" t="s">
        <v>1343</v>
      </c>
      <c r="AD16" s="46" t="s">
        <v>834</v>
      </c>
      <c r="AE16" s="47" t="s">
        <v>500</v>
      </c>
    </row>
    <row r="17" spans="1:31" ht="17.25" customHeight="1" x14ac:dyDescent="0.25">
      <c r="A17" s="81" t="s">
        <v>3347</v>
      </c>
      <c r="B17" s="48">
        <v>28800</v>
      </c>
      <c r="C17" s="48">
        <v>38160</v>
      </c>
      <c r="D17" s="48">
        <v>47520</v>
      </c>
      <c r="E17" s="48">
        <v>56880</v>
      </c>
      <c r="F17" s="48">
        <v>66240</v>
      </c>
      <c r="G17" s="48">
        <v>75600</v>
      </c>
      <c r="H17" s="48">
        <v>6400</v>
      </c>
      <c r="I17" s="109">
        <v>0.4</v>
      </c>
      <c r="K17" s="40" t="s">
        <v>42</v>
      </c>
      <c r="L17" s="41" t="s">
        <v>2411</v>
      </c>
      <c r="M17" s="41" t="s">
        <v>500</v>
      </c>
      <c r="N17" s="41" t="s">
        <v>3142</v>
      </c>
      <c r="O17" s="41" t="s">
        <v>2369</v>
      </c>
      <c r="P17" s="41" t="s">
        <v>3145</v>
      </c>
      <c r="Q17" s="42" t="s">
        <v>500</v>
      </c>
      <c r="S17" s="43" t="s">
        <v>803</v>
      </c>
      <c r="T17" s="44" t="s">
        <v>767</v>
      </c>
      <c r="V17" s="43">
        <v>1531</v>
      </c>
      <c r="W17" s="45" t="s">
        <v>1376</v>
      </c>
      <c r="X17" s="45" t="s">
        <v>1134</v>
      </c>
      <c r="Y17" s="45" t="s">
        <v>1377</v>
      </c>
      <c r="Z17" s="45" t="s">
        <v>86</v>
      </c>
      <c r="AA17" s="45" t="s">
        <v>513</v>
      </c>
      <c r="AB17" s="44" t="s">
        <v>1343</v>
      </c>
      <c r="AD17" s="46" t="s">
        <v>835</v>
      </c>
      <c r="AE17" s="47" t="s">
        <v>500</v>
      </c>
    </row>
    <row r="18" spans="1:31" ht="16.5" customHeight="1" x14ac:dyDescent="0.25">
      <c r="A18" s="81" t="s">
        <v>3352</v>
      </c>
      <c r="B18" s="48">
        <v>11340</v>
      </c>
      <c r="C18" s="48">
        <v>11340</v>
      </c>
      <c r="D18" s="48">
        <v>11340</v>
      </c>
      <c r="E18" s="48">
        <v>11340</v>
      </c>
      <c r="F18" s="48">
        <v>11340</v>
      </c>
      <c r="G18" s="48">
        <v>11340</v>
      </c>
      <c r="H18" s="48">
        <v>1418</v>
      </c>
      <c r="I18" s="49">
        <v>0</v>
      </c>
      <c r="K18" s="40" t="s">
        <v>49</v>
      </c>
      <c r="L18" s="41" t="s">
        <v>2412</v>
      </c>
      <c r="M18" s="41" t="s">
        <v>500</v>
      </c>
      <c r="N18" s="41" t="s">
        <v>3142</v>
      </c>
      <c r="O18" s="41" t="s">
        <v>2369</v>
      </c>
      <c r="P18" s="41" t="s">
        <v>3145</v>
      </c>
      <c r="Q18" s="42" t="s">
        <v>500</v>
      </c>
      <c r="S18" s="43" t="s">
        <v>804</v>
      </c>
      <c r="T18" s="44" t="s">
        <v>767</v>
      </c>
      <c r="V18" s="43">
        <v>1153</v>
      </c>
      <c r="W18" s="45" t="s">
        <v>1378</v>
      </c>
      <c r="X18" s="45" t="s">
        <v>1107</v>
      </c>
      <c r="Y18" s="45" t="s">
        <v>1379</v>
      </c>
      <c r="Z18" s="45" t="s">
        <v>29</v>
      </c>
      <c r="AA18" s="45" t="s">
        <v>538</v>
      </c>
      <c r="AB18" s="44" t="s">
        <v>1342</v>
      </c>
      <c r="AD18" s="46" t="s">
        <v>836</v>
      </c>
      <c r="AE18" s="47" t="s">
        <v>500</v>
      </c>
    </row>
    <row r="19" spans="1:31" ht="16.5" customHeight="1" x14ac:dyDescent="0.25">
      <c r="A19" s="81" t="s">
        <v>3198</v>
      </c>
      <c r="B19" s="48">
        <v>13230</v>
      </c>
      <c r="C19" s="48">
        <v>13230</v>
      </c>
      <c r="D19" s="48">
        <v>13230</v>
      </c>
      <c r="E19" s="48">
        <v>13230</v>
      </c>
      <c r="F19" s="48">
        <v>13230</v>
      </c>
      <c r="G19" s="48">
        <v>13230</v>
      </c>
      <c r="H19" s="48">
        <v>1418</v>
      </c>
      <c r="I19" s="49">
        <v>0</v>
      </c>
      <c r="K19" s="40" t="s">
        <v>87</v>
      </c>
      <c r="L19" s="41" t="s">
        <v>2413</v>
      </c>
      <c r="M19" s="41" t="s">
        <v>500</v>
      </c>
      <c r="N19" s="41" t="s">
        <v>3141</v>
      </c>
      <c r="O19" s="41" t="s">
        <v>2369</v>
      </c>
      <c r="P19" s="41" t="s">
        <v>3145</v>
      </c>
      <c r="Q19" s="42" t="s">
        <v>500</v>
      </c>
      <c r="S19" s="43" t="s">
        <v>513</v>
      </c>
      <c r="T19" s="44" t="s">
        <v>802</v>
      </c>
      <c r="V19" s="43">
        <v>1131</v>
      </c>
      <c r="W19" s="45" t="s">
        <v>1380</v>
      </c>
      <c r="X19" s="45" t="s">
        <v>1135</v>
      </c>
      <c r="Y19" s="45" t="s">
        <v>1381</v>
      </c>
      <c r="Z19" s="45" t="s">
        <v>24</v>
      </c>
      <c r="AA19" s="45" t="s">
        <v>525</v>
      </c>
      <c r="AB19" s="44" t="s">
        <v>1343</v>
      </c>
      <c r="AD19" s="46" t="s">
        <v>837</v>
      </c>
      <c r="AE19" s="47" t="s">
        <v>500</v>
      </c>
    </row>
    <row r="20" spans="1:31" ht="16.5" customHeight="1" thickBot="1" x14ac:dyDescent="0.3">
      <c r="A20" s="164" t="s">
        <v>3199</v>
      </c>
      <c r="B20" s="52">
        <v>15120</v>
      </c>
      <c r="C20" s="52">
        <v>15120</v>
      </c>
      <c r="D20" s="52">
        <v>15120</v>
      </c>
      <c r="E20" s="52">
        <v>15120</v>
      </c>
      <c r="F20" s="52">
        <v>15120</v>
      </c>
      <c r="G20" s="52">
        <v>15120</v>
      </c>
      <c r="H20" s="52">
        <v>1418</v>
      </c>
      <c r="I20" s="53">
        <v>0</v>
      </c>
      <c r="K20" s="40" t="s">
        <v>28</v>
      </c>
      <c r="L20" s="41" t="s">
        <v>2414</v>
      </c>
      <c r="M20" s="41" t="s">
        <v>500</v>
      </c>
      <c r="N20" s="41" t="s">
        <v>3142</v>
      </c>
      <c r="O20" s="41" t="s">
        <v>2369</v>
      </c>
      <c r="P20" s="41" t="s">
        <v>3145</v>
      </c>
      <c r="Q20" s="42" t="s">
        <v>500</v>
      </c>
      <c r="S20" s="43" t="s">
        <v>552</v>
      </c>
      <c r="T20" s="44" t="s">
        <v>767</v>
      </c>
      <c r="V20" s="43">
        <v>2308</v>
      </c>
      <c r="W20" s="45" t="s">
        <v>1382</v>
      </c>
      <c r="X20" s="45" t="s">
        <v>941</v>
      </c>
      <c r="Y20" s="45" t="s">
        <v>1383</v>
      </c>
      <c r="Z20" s="45" t="s">
        <v>438</v>
      </c>
      <c r="AA20" s="45" t="s">
        <v>550</v>
      </c>
      <c r="AB20" s="44" t="s">
        <v>1341</v>
      </c>
      <c r="AD20" s="46" t="s">
        <v>838</v>
      </c>
      <c r="AE20" s="47" t="s">
        <v>500</v>
      </c>
    </row>
    <row r="21" spans="1:31" ht="12" thickBot="1" x14ac:dyDescent="0.3">
      <c r="K21" s="40" t="s">
        <v>52</v>
      </c>
      <c r="L21" s="41" t="s">
        <v>2415</v>
      </c>
      <c r="M21" s="41" t="s">
        <v>500</v>
      </c>
      <c r="N21" s="41" t="s">
        <v>3142</v>
      </c>
      <c r="O21" s="41" t="s">
        <v>2369</v>
      </c>
      <c r="P21" s="41" t="s">
        <v>3145</v>
      </c>
      <c r="Q21" s="42" t="s">
        <v>500</v>
      </c>
      <c r="S21" s="43" t="s">
        <v>553</v>
      </c>
      <c r="T21" s="44" t="s">
        <v>767</v>
      </c>
      <c r="V21" s="43">
        <v>1213</v>
      </c>
      <c r="W21" s="45" t="s">
        <v>1384</v>
      </c>
      <c r="X21" s="45" t="s">
        <v>1385</v>
      </c>
      <c r="Y21" s="45" t="s">
        <v>1386</v>
      </c>
      <c r="Z21" s="45" t="s">
        <v>2317</v>
      </c>
      <c r="AA21" s="45" t="s">
        <v>512</v>
      </c>
      <c r="AB21" s="44" t="s">
        <v>1343</v>
      </c>
      <c r="AD21" s="46" t="s">
        <v>839</v>
      </c>
      <c r="AE21" s="47" t="s">
        <v>500</v>
      </c>
    </row>
    <row r="22" spans="1:31" ht="12" thickBot="1" x14ac:dyDescent="0.3">
      <c r="A22" s="112" t="s">
        <v>759</v>
      </c>
      <c r="B22" s="113" t="s">
        <v>15</v>
      </c>
      <c r="C22" s="113" t="s">
        <v>506</v>
      </c>
      <c r="D22" s="113" t="s">
        <v>500</v>
      </c>
      <c r="E22" s="113" t="s">
        <v>1341</v>
      </c>
      <c r="F22" s="113" t="s">
        <v>1342</v>
      </c>
      <c r="G22" s="114" t="s">
        <v>1343</v>
      </c>
      <c r="H22" s="55"/>
      <c r="I22" s="55"/>
      <c r="K22" s="40" t="s">
        <v>1299</v>
      </c>
      <c r="L22" s="41" t="s">
        <v>2416</v>
      </c>
      <c r="M22" s="41" t="s">
        <v>500</v>
      </c>
      <c r="N22" s="41" t="s">
        <v>3141</v>
      </c>
      <c r="O22" s="41" t="s">
        <v>2369</v>
      </c>
      <c r="P22" s="41" t="s">
        <v>3145</v>
      </c>
      <c r="Q22" s="42" t="s">
        <v>500</v>
      </c>
      <c r="S22" s="43" t="s">
        <v>554</v>
      </c>
      <c r="T22" s="44" t="s">
        <v>767</v>
      </c>
      <c r="V22" s="43">
        <v>1139</v>
      </c>
      <c r="W22" s="45" t="s">
        <v>1387</v>
      </c>
      <c r="X22" s="45" t="s">
        <v>1136</v>
      </c>
      <c r="Y22" s="45" t="s">
        <v>1388</v>
      </c>
      <c r="Z22" s="45" t="s">
        <v>2318</v>
      </c>
      <c r="AA22" s="45" t="s">
        <v>517</v>
      </c>
      <c r="AB22" s="44" t="s">
        <v>1343</v>
      </c>
      <c r="AD22" s="46" t="s">
        <v>840</v>
      </c>
      <c r="AE22" s="47" t="s">
        <v>500</v>
      </c>
    </row>
    <row r="23" spans="1:31" ht="13" x14ac:dyDescent="0.3">
      <c r="A23" s="31" t="s">
        <v>15</v>
      </c>
      <c r="B23" s="115" t="s">
        <v>3333</v>
      </c>
      <c r="C23" s="115" t="s">
        <v>3348</v>
      </c>
      <c r="D23" s="115" t="s">
        <v>3348</v>
      </c>
      <c r="E23" s="115" t="s">
        <v>3349</v>
      </c>
      <c r="F23" s="115" t="s">
        <v>3350</v>
      </c>
      <c r="G23" s="116" t="s">
        <v>3351</v>
      </c>
      <c r="K23" s="40" t="s">
        <v>153</v>
      </c>
      <c r="L23" s="41" t="s">
        <v>2417</v>
      </c>
      <c r="M23" s="41" t="s">
        <v>500</v>
      </c>
      <c r="N23" s="41" t="s">
        <v>3141</v>
      </c>
      <c r="O23" s="41" t="s">
        <v>2369</v>
      </c>
      <c r="P23" s="41" t="s">
        <v>3145</v>
      </c>
      <c r="Q23" s="42" t="s">
        <v>500</v>
      </c>
      <c r="S23" s="43" t="s">
        <v>499</v>
      </c>
      <c r="T23" s="44" t="s">
        <v>802</v>
      </c>
      <c r="V23" s="43">
        <v>1487</v>
      </c>
      <c r="W23" s="45" t="s">
        <v>1389</v>
      </c>
      <c r="X23" s="45" t="s">
        <v>1137</v>
      </c>
      <c r="Y23" s="45" t="s">
        <v>1390</v>
      </c>
      <c r="Z23" s="45" t="s">
        <v>2319</v>
      </c>
      <c r="AA23" s="45" t="s">
        <v>520</v>
      </c>
      <c r="AB23" s="44" t="s">
        <v>1343</v>
      </c>
      <c r="AD23" s="46" t="s">
        <v>841</v>
      </c>
      <c r="AE23" s="47" t="s">
        <v>500</v>
      </c>
    </row>
    <row r="24" spans="1:31" ht="13" x14ac:dyDescent="0.3">
      <c r="A24" s="56" t="s">
        <v>506</v>
      </c>
      <c r="B24" s="117" t="s">
        <v>3348</v>
      </c>
      <c r="C24" s="117" t="s">
        <v>3333</v>
      </c>
      <c r="D24" s="117" t="s">
        <v>3348</v>
      </c>
      <c r="E24" s="117" t="s">
        <v>3350</v>
      </c>
      <c r="F24" s="117" t="s">
        <v>3349</v>
      </c>
      <c r="G24" s="118" t="s">
        <v>3350</v>
      </c>
      <c r="K24" s="40" t="s">
        <v>155</v>
      </c>
      <c r="L24" s="41" t="s">
        <v>2418</v>
      </c>
      <c r="M24" s="41" t="s">
        <v>500</v>
      </c>
      <c r="N24" s="41" t="s">
        <v>3141</v>
      </c>
      <c r="O24" s="41" t="s">
        <v>2369</v>
      </c>
      <c r="P24" s="41" t="s">
        <v>3145</v>
      </c>
      <c r="Q24" s="42" t="s">
        <v>500</v>
      </c>
      <c r="S24" s="43" t="s">
        <v>517</v>
      </c>
      <c r="T24" s="44" t="s">
        <v>802</v>
      </c>
      <c r="V24" s="43">
        <v>1165</v>
      </c>
      <c r="W24" s="45" t="s">
        <v>1391</v>
      </c>
      <c r="X24" s="45" t="s">
        <v>1392</v>
      </c>
      <c r="Y24" s="45" t="s">
        <v>1393</v>
      </c>
      <c r="Z24" s="45" t="s">
        <v>38</v>
      </c>
      <c r="AA24" s="45" t="s">
        <v>531</v>
      </c>
      <c r="AB24" s="44" t="s">
        <v>1343</v>
      </c>
      <c r="AD24" s="46" t="s">
        <v>842</v>
      </c>
      <c r="AE24" s="47" t="s">
        <v>500</v>
      </c>
    </row>
    <row r="25" spans="1:31" ht="13" x14ac:dyDescent="0.3">
      <c r="A25" s="56" t="s">
        <v>500</v>
      </c>
      <c r="B25" s="117" t="s">
        <v>3348</v>
      </c>
      <c r="C25" s="117" t="s">
        <v>3348</v>
      </c>
      <c r="D25" s="117" t="s">
        <v>3333</v>
      </c>
      <c r="E25" s="117" t="s">
        <v>3351</v>
      </c>
      <c r="F25" s="117" t="s">
        <v>3350</v>
      </c>
      <c r="G25" s="118" t="s">
        <v>3349</v>
      </c>
      <c r="K25" s="40" t="s">
        <v>152</v>
      </c>
      <c r="L25" s="41" t="s">
        <v>2419</v>
      </c>
      <c r="M25" s="41" t="s">
        <v>500</v>
      </c>
      <c r="N25" s="41" t="s">
        <v>3139</v>
      </c>
      <c r="O25" s="41" t="s">
        <v>2369</v>
      </c>
      <c r="P25" s="41" t="s">
        <v>3145</v>
      </c>
      <c r="Q25" s="42" t="s">
        <v>500</v>
      </c>
      <c r="S25" s="43" t="s">
        <v>500</v>
      </c>
      <c r="T25" s="44" t="s">
        <v>500</v>
      </c>
      <c r="V25" s="43">
        <v>2389</v>
      </c>
      <c r="W25" s="45" t="s">
        <v>1394</v>
      </c>
      <c r="X25" s="45" t="s">
        <v>826</v>
      </c>
      <c r="Y25" s="45" t="s">
        <v>1395</v>
      </c>
      <c r="Z25" s="45" t="s">
        <v>47</v>
      </c>
      <c r="AA25" s="45" t="s">
        <v>500</v>
      </c>
      <c r="AB25" s="44" t="s">
        <v>500</v>
      </c>
      <c r="AD25" s="46" t="s">
        <v>843</v>
      </c>
      <c r="AE25" s="47" t="s">
        <v>500</v>
      </c>
    </row>
    <row r="26" spans="1:31" ht="13" x14ac:dyDescent="0.3">
      <c r="A26" s="56" t="s">
        <v>1341</v>
      </c>
      <c r="B26" s="117" t="s">
        <v>3349</v>
      </c>
      <c r="C26" s="117" t="s">
        <v>3350</v>
      </c>
      <c r="D26" s="117" t="s">
        <v>3351</v>
      </c>
      <c r="E26" s="117" t="s">
        <v>3349</v>
      </c>
      <c r="F26" s="117" t="s">
        <v>3350</v>
      </c>
      <c r="G26" s="118" t="s">
        <v>3351</v>
      </c>
      <c r="K26" s="40" t="s">
        <v>198</v>
      </c>
      <c r="L26" s="41" t="s">
        <v>2420</v>
      </c>
      <c r="M26" s="41" t="s">
        <v>500</v>
      </c>
      <c r="N26" s="41" t="s">
        <v>3139</v>
      </c>
      <c r="O26" s="41" t="s">
        <v>2369</v>
      </c>
      <c r="P26" s="41" t="s">
        <v>3145</v>
      </c>
      <c r="Q26" s="42" t="s">
        <v>500</v>
      </c>
      <c r="S26" s="43" t="s">
        <v>535</v>
      </c>
      <c r="T26" s="44" t="s">
        <v>802</v>
      </c>
      <c r="V26" s="43">
        <v>2398</v>
      </c>
      <c r="W26" s="45" t="s">
        <v>1396</v>
      </c>
      <c r="X26" s="45" t="s">
        <v>1139</v>
      </c>
      <c r="Y26" s="45" t="s">
        <v>1397</v>
      </c>
      <c r="Z26" s="45" t="s">
        <v>428</v>
      </c>
      <c r="AA26" s="45" t="s">
        <v>534</v>
      </c>
      <c r="AB26" s="44" t="s">
        <v>1343</v>
      </c>
      <c r="AD26" s="46" t="s">
        <v>844</v>
      </c>
      <c r="AE26" s="47" t="s">
        <v>500</v>
      </c>
    </row>
    <row r="27" spans="1:31" ht="15.75" customHeight="1" x14ac:dyDescent="0.3">
      <c r="A27" s="56" t="s">
        <v>1342</v>
      </c>
      <c r="B27" s="117" t="s">
        <v>3350</v>
      </c>
      <c r="C27" s="117" t="s">
        <v>3349</v>
      </c>
      <c r="D27" s="117" t="s">
        <v>3350</v>
      </c>
      <c r="E27" s="117" t="s">
        <v>3350</v>
      </c>
      <c r="F27" s="117" t="s">
        <v>3349</v>
      </c>
      <c r="G27" s="118" t="s">
        <v>3350</v>
      </c>
      <c r="K27" s="40" t="s">
        <v>105</v>
      </c>
      <c r="L27" s="41" t="s">
        <v>2421</v>
      </c>
      <c r="M27" s="41" t="s">
        <v>500</v>
      </c>
      <c r="N27" s="41" t="s">
        <v>3139</v>
      </c>
      <c r="O27" s="41" t="s">
        <v>2369</v>
      </c>
      <c r="P27" s="41" t="s">
        <v>3145</v>
      </c>
      <c r="Q27" s="42" t="s">
        <v>500</v>
      </c>
      <c r="S27" s="43" t="s">
        <v>518</v>
      </c>
      <c r="T27" s="44" t="s">
        <v>802</v>
      </c>
      <c r="V27" s="43">
        <v>1581</v>
      </c>
      <c r="W27" s="45" t="s">
        <v>1398</v>
      </c>
      <c r="X27" s="45" t="s">
        <v>827</v>
      </c>
      <c r="Y27" s="45" t="s">
        <v>1399</v>
      </c>
      <c r="Z27" s="45" t="s">
        <v>2320</v>
      </c>
      <c r="AA27" s="45" t="s">
        <v>500</v>
      </c>
      <c r="AB27" s="44" t="s">
        <v>500</v>
      </c>
      <c r="AD27" s="46" t="s">
        <v>845</v>
      </c>
      <c r="AE27" s="47" t="s">
        <v>500</v>
      </c>
    </row>
    <row r="28" spans="1:31" ht="20.25" customHeight="1" thickBot="1" x14ac:dyDescent="0.35">
      <c r="A28" s="57" t="s">
        <v>1343</v>
      </c>
      <c r="B28" s="119" t="s">
        <v>3351</v>
      </c>
      <c r="C28" s="119" t="s">
        <v>3350</v>
      </c>
      <c r="D28" s="119" t="s">
        <v>3349</v>
      </c>
      <c r="E28" s="119" t="s">
        <v>3351</v>
      </c>
      <c r="F28" s="119" t="s">
        <v>3350</v>
      </c>
      <c r="G28" s="120" t="s">
        <v>3349</v>
      </c>
      <c r="K28" s="40" t="s">
        <v>133</v>
      </c>
      <c r="L28" s="41" t="s">
        <v>2422</v>
      </c>
      <c r="M28" s="41" t="s">
        <v>500</v>
      </c>
      <c r="N28" s="41" t="s">
        <v>3139</v>
      </c>
      <c r="O28" s="41" t="s">
        <v>2369</v>
      </c>
      <c r="P28" s="41" t="s">
        <v>3145</v>
      </c>
      <c r="Q28" s="42" t="s">
        <v>500</v>
      </c>
      <c r="S28" s="43" t="s">
        <v>508</v>
      </c>
      <c r="T28" s="44" t="s">
        <v>802</v>
      </c>
      <c r="V28" s="43">
        <v>1215</v>
      </c>
      <c r="W28" s="45" t="s">
        <v>1400</v>
      </c>
      <c r="X28" s="45" t="s">
        <v>1140</v>
      </c>
      <c r="Y28" s="45" t="s">
        <v>1401</v>
      </c>
      <c r="Z28" s="45" t="s">
        <v>2321</v>
      </c>
      <c r="AA28" s="45" t="s">
        <v>519</v>
      </c>
      <c r="AB28" s="44" t="s">
        <v>1343</v>
      </c>
      <c r="AD28" s="46" t="s">
        <v>846</v>
      </c>
      <c r="AE28" s="47" t="s">
        <v>500</v>
      </c>
    </row>
    <row r="29" spans="1:31" ht="12" thickBot="1" x14ac:dyDescent="0.3">
      <c r="K29" s="40" t="s">
        <v>198</v>
      </c>
      <c r="L29" s="41" t="s">
        <v>2420</v>
      </c>
      <c r="M29" s="41" t="s">
        <v>500</v>
      </c>
      <c r="N29" s="41" t="s">
        <v>3139</v>
      </c>
      <c r="O29" s="41" t="s">
        <v>2369</v>
      </c>
      <c r="P29" s="41" t="s">
        <v>3145</v>
      </c>
      <c r="Q29" s="42" t="s">
        <v>500</v>
      </c>
      <c r="S29" s="43" t="s">
        <v>555</v>
      </c>
      <c r="T29" s="44" t="s">
        <v>767</v>
      </c>
      <c r="V29" s="43">
        <v>1319</v>
      </c>
      <c r="W29" s="45" t="s">
        <v>1402</v>
      </c>
      <c r="X29" s="45" t="s">
        <v>1403</v>
      </c>
      <c r="Y29" s="45" t="s">
        <v>1404</v>
      </c>
      <c r="Z29" s="45" t="s">
        <v>185</v>
      </c>
      <c r="AA29" s="45" t="s">
        <v>552</v>
      </c>
      <c r="AB29" s="44" t="s">
        <v>1341</v>
      </c>
      <c r="AD29" s="46" t="s">
        <v>847</v>
      </c>
      <c r="AE29" s="47" t="s">
        <v>500</v>
      </c>
    </row>
    <row r="30" spans="1:31" x14ac:dyDescent="0.25">
      <c r="A30" s="34" t="s">
        <v>1335</v>
      </c>
      <c r="B30" s="58" t="s">
        <v>1336</v>
      </c>
      <c r="C30" s="58" t="s">
        <v>1337</v>
      </c>
      <c r="D30" s="59" t="s">
        <v>1339</v>
      </c>
      <c r="F30" s="197" t="s">
        <v>1332</v>
      </c>
      <c r="G30" s="198"/>
      <c r="H30" s="199"/>
      <c r="K30" s="40" t="s">
        <v>105</v>
      </c>
      <c r="L30" s="41" t="s">
        <v>2421</v>
      </c>
      <c r="M30" s="41" t="s">
        <v>500</v>
      </c>
      <c r="N30" s="41" t="s">
        <v>3139</v>
      </c>
      <c r="O30" s="41" t="s">
        <v>2369</v>
      </c>
      <c r="P30" s="41" t="s">
        <v>3145</v>
      </c>
      <c r="Q30" s="42" t="s">
        <v>500</v>
      </c>
      <c r="S30" s="43" t="s">
        <v>507</v>
      </c>
      <c r="T30" s="44" t="s">
        <v>507</v>
      </c>
      <c r="V30" s="43">
        <v>1135</v>
      </c>
      <c r="W30" s="45" t="s">
        <v>1405</v>
      </c>
      <c r="X30" s="45" t="s">
        <v>1141</v>
      </c>
      <c r="Y30" s="45" t="s">
        <v>1406</v>
      </c>
      <c r="Z30" s="45" t="s">
        <v>78</v>
      </c>
      <c r="AA30" s="45" t="s">
        <v>524</v>
      </c>
      <c r="AB30" s="44" t="s">
        <v>1343</v>
      </c>
      <c r="AD30" s="46" t="s">
        <v>848</v>
      </c>
      <c r="AE30" s="47" t="s">
        <v>500</v>
      </c>
    </row>
    <row r="31" spans="1:31" x14ac:dyDescent="0.25">
      <c r="A31" s="43" t="s">
        <v>506</v>
      </c>
      <c r="B31" s="60" t="str">
        <f t="shared" ref="B31:B53" si="0">A31&amp;" - "&amp;C31</f>
        <v>Đà Nẵng - Khu Vực 2</v>
      </c>
      <c r="C31" s="60" t="s">
        <v>1342</v>
      </c>
      <c r="D31" s="61" t="s">
        <v>1340</v>
      </c>
      <c r="F31" s="62" t="s">
        <v>759</v>
      </c>
      <c r="G31" s="37" t="s">
        <v>3111</v>
      </c>
      <c r="H31" s="38" t="s">
        <v>3110</v>
      </c>
      <c r="K31" s="40" t="s">
        <v>133</v>
      </c>
      <c r="L31" s="41" t="s">
        <v>2422</v>
      </c>
      <c r="M31" s="41" t="s">
        <v>500</v>
      </c>
      <c r="N31" s="41" t="s">
        <v>3139</v>
      </c>
      <c r="O31" s="41" t="s">
        <v>2369</v>
      </c>
      <c r="P31" s="41" t="s">
        <v>3145</v>
      </c>
      <c r="Q31" s="42" t="s">
        <v>500</v>
      </c>
      <c r="S31" s="43" t="s">
        <v>705</v>
      </c>
      <c r="T31" s="44" t="s">
        <v>802</v>
      </c>
      <c r="V31" s="43">
        <v>1546</v>
      </c>
      <c r="W31" s="45" t="s">
        <v>1407</v>
      </c>
      <c r="X31" s="45" t="s">
        <v>1142</v>
      </c>
      <c r="Y31" s="45" t="s">
        <v>1408</v>
      </c>
      <c r="Z31" s="45" t="s">
        <v>78</v>
      </c>
      <c r="AA31" s="45" t="s">
        <v>524</v>
      </c>
      <c r="AB31" s="44" t="s">
        <v>1343</v>
      </c>
      <c r="AD31" s="46" t="s">
        <v>849</v>
      </c>
      <c r="AE31" s="47" t="s">
        <v>500</v>
      </c>
    </row>
    <row r="32" spans="1:31" ht="57.5" x14ac:dyDescent="0.25">
      <c r="A32" s="43" t="s">
        <v>500</v>
      </c>
      <c r="B32" s="60" t="str">
        <f t="shared" si="0"/>
        <v>Hà Nội - Nghệ An</v>
      </c>
      <c r="C32" s="60" t="s">
        <v>525</v>
      </c>
      <c r="D32" s="61" t="s">
        <v>1340</v>
      </c>
      <c r="F32" s="63" t="s">
        <v>3200</v>
      </c>
      <c r="G32" s="48" t="s">
        <v>1348</v>
      </c>
      <c r="H32" s="49" t="s">
        <v>3200</v>
      </c>
      <c r="K32" s="40" t="s">
        <v>135</v>
      </c>
      <c r="L32" s="41" t="s">
        <v>2423</v>
      </c>
      <c r="M32" s="41" t="s">
        <v>500</v>
      </c>
      <c r="N32" s="41" t="s">
        <v>3139</v>
      </c>
      <c r="O32" s="41" t="s">
        <v>2369</v>
      </c>
      <c r="P32" s="41" t="s">
        <v>3145</v>
      </c>
      <c r="Q32" s="42" t="s">
        <v>500</v>
      </c>
      <c r="S32" s="43" t="s">
        <v>519</v>
      </c>
      <c r="T32" s="44" t="s">
        <v>802</v>
      </c>
      <c r="V32" s="43">
        <v>1525</v>
      </c>
      <c r="W32" s="45" t="s">
        <v>1409</v>
      </c>
      <c r="X32" s="45" t="s">
        <v>1143</v>
      </c>
      <c r="Y32" s="45" t="s">
        <v>1410</v>
      </c>
      <c r="Z32" s="45" t="s">
        <v>2317</v>
      </c>
      <c r="AA32" s="45" t="s">
        <v>512</v>
      </c>
      <c r="AB32" s="44" t="s">
        <v>1343</v>
      </c>
      <c r="AD32" s="46" t="s">
        <v>850</v>
      </c>
      <c r="AE32" s="47" t="s">
        <v>500</v>
      </c>
    </row>
    <row r="33" spans="1:31" ht="23" x14ac:dyDescent="0.25">
      <c r="A33" s="43" t="s">
        <v>500</v>
      </c>
      <c r="B33" s="60" t="str">
        <f t="shared" si="0"/>
        <v>Hà Nội - Thanh Hóa</v>
      </c>
      <c r="C33" s="60" t="s">
        <v>532</v>
      </c>
      <c r="D33" s="61" t="s">
        <v>1340</v>
      </c>
      <c r="F33" s="64" t="s">
        <v>3194</v>
      </c>
      <c r="G33" s="50" t="s">
        <v>1334</v>
      </c>
      <c r="H33" s="51" t="s">
        <v>3194</v>
      </c>
      <c r="K33" s="40" t="s">
        <v>150</v>
      </c>
      <c r="L33" s="41" t="s">
        <v>2424</v>
      </c>
      <c r="M33" s="41" t="s">
        <v>500</v>
      </c>
      <c r="N33" s="41" t="s">
        <v>3139</v>
      </c>
      <c r="O33" s="41" t="s">
        <v>2369</v>
      </c>
      <c r="P33" s="41" t="s">
        <v>3145</v>
      </c>
      <c r="Q33" s="42" t="s">
        <v>500</v>
      </c>
      <c r="S33" s="43" t="s">
        <v>713</v>
      </c>
      <c r="T33" s="44" t="s">
        <v>767</v>
      </c>
      <c r="V33" s="43">
        <v>1352</v>
      </c>
      <c r="W33" s="45" t="s">
        <v>1411</v>
      </c>
      <c r="X33" s="45" t="s">
        <v>828</v>
      </c>
      <c r="Y33" s="45" t="s">
        <v>1412</v>
      </c>
      <c r="Z33" s="45" t="s">
        <v>47</v>
      </c>
      <c r="AA33" s="45" t="s">
        <v>500</v>
      </c>
      <c r="AB33" s="44" t="s">
        <v>500</v>
      </c>
      <c r="AD33" s="46" t="s">
        <v>851</v>
      </c>
      <c r="AE33" s="47" t="s">
        <v>500</v>
      </c>
    </row>
    <row r="34" spans="1:31" ht="57.5" x14ac:dyDescent="0.25">
      <c r="A34" s="43" t="s">
        <v>500</v>
      </c>
      <c r="B34" s="60" t="str">
        <f t="shared" si="0"/>
        <v>Hà Nội - Sơn La</v>
      </c>
      <c r="C34" s="60" t="s">
        <v>528</v>
      </c>
      <c r="D34" s="61" t="s">
        <v>1340</v>
      </c>
      <c r="F34" s="64" t="s">
        <v>3195</v>
      </c>
      <c r="G34" s="50" t="s">
        <v>1349</v>
      </c>
      <c r="H34" s="51" t="s">
        <v>3195</v>
      </c>
      <c r="K34" s="40" t="s">
        <v>192</v>
      </c>
      <c r="L34" s="41" t="s">
        <v>2425</v>
      </c>
      <c r="M34" s="41" t="s">
        <v>500</v>
      </c>
      <c r="N34" s="41" t="s">
        <v>3139</v>
      </c>
      <c r="O34" s="41" t="s">
        <v>2369</v>
      </c>
      <c r="P34" s="41" t="s">
        <v>3145</v>
      </c>
      <c r="Q34" s="42" t="s">
        <v>500</v>
      </c>
      <c r="S34" s="43" t="s">
        <v>502</v>
      </c>
      <c r="T34" s="44" t="s">
        <v>767</v>
      </c>
      <c r="V34" s="43">
        <v>1074</v>
      </c>
      <c r="W34" s="45" t="s">
        <v>1413</v>
      </c>
      <c r="X34" s="45" t="s">
        <v>1414</v>
      </c>
      <c r="Y34" s="45" t="s">
        <v>3236</v>
      </c>
      <c r="Z34" s="45" t="s">
        <v>36</v>
      </c>
      <c r="AA34" s="45" t="s">
        <v>550</v>
      </c>
      <c r="AB34" s="44" t="s">
        <v>1341</v>
      </c>
      <c r="AD34" s="46" t="s">
        <v>852</v>
      </c>
      <c r="AE34" s="47" t="s">
        <v>500</v>
      </c>
    </row>
    <row r="35" spans="1:31" ht="23" x14ac:dyDescent="0.25">
      <c r="A35" s="43" t="s">
        <v>500</v>
      </c>
      <c r="B35" s="60" t="str">
        <f t="shared" si="0"/>
        <v>Hà Nội - Hà Tĩnh</v>
      </c>
      <c r="C35" s="65" t="s">
        <v>535</v>
      </c>
      <c r="D35" s="61" t="s">
        <v>1340</v>
      </c>
      <c r="F35" s="63" t="s">
        <v>3201</v>
      </c>
      <c r="G35" s="48" t="s">
        <v>1331</v>
      </c>
      <c r="H35" s="49" t="s">
        <v>3196</v>
      </c>
      <c r="K35" s="40" t="s">
        <v>197</v>
      </c>
      <c r="L35" s="41" t="s">
        <v>2426</v>
      </c>
      <c r="M35" s="41" t="s">
        <v>500</v>
      </c>
      <c r="N35" s="41" t="s">
        <v>3139</v>
      </c>
      <c r="O35" s="41" t="s">
        <v>2369</v>
      </c>
      <c r="P35" s="41" t="s">
        <v>3145</v>
      </c>
      <c r="Q35" s="42" t="s">
        <v>500</v>
      </c>
      <c r="S35" s="43" t="s">
        <v>556</v>
      </c>
      <c r="T35" s="44" t="s">
        <v>767</v>
      </c>
      <c r="V35" s="43">
        <v>1930</v>
      </c>
      <c r="W35" s="45" t="s">
        <v>1415</v>
      </c>
      <c r="X35" s="45" t="s">
        <v>943</v>
      </c>
      <c r="Y35" s="45" t="s">
        <v>3235</v>
      </c>
      <c r="Z35" s="45" t="s">
        <v>36</v>
      </c>
      <c r="AA35" s="45" t="s">
        <v>550</v>
      </c>
      <c r="AB35" s="44" t="s">
        <v>1341</v>
      </c>
      <c r="AD35" s="46" t="s">
        <v>853</v>
      </c>
      <c r="AE35" s="47" t="s">
        <v>500</v>
      </c>
    </row>
    <row r="36" spans="1:31" ht="69.5" thickBot="1" x14ac:dyDescent="0.3">
      <c r="A36" s="43" t="s">
        <v>507</v>
      </c>
      <c r="B36" s="60" t="str">
        <f t="shared" si="0"/>
        <v>Hồ Chí Minh - Bình Định</v>
      </c>
      <c r="C36" s="65" t="s">
        <v>545</v>
      </c>
      <c r="D36" s="61" t="s">
        <v>1340</v>
      </c>
      <c r="F36" s="66" t="s">
        <v>3202</v>
      </c>
      <c r="G36" s="52" t="s">
        <v>1347</v>
      </c>
      <c r="H36" s="53" t="s">
        <v>3197</v>
      </c>
      <c r="K36" s="40" t="s">
        <v>194</v>
      </c>
      <c r="L36" s="41" t="s">
        <v>2427</v>
      </c>
      <c r="M36" s="41" t="s">
        <v>500</v>
      </c>
      <c r="N36" s="41" t="s">
        <v>3139</v>
      </c>
      <c r="O36" s="41" t="s">
        <v>2369</v>
      </c>
      <c r="P36" s="41" t="s">
        <v>3145</v>
      </c>
      <c r="Q36" s="42" t="s">
        <v>500</v>
      </c>
      <c r="S36" s="43" t="s">
        <v>522</v>
      </c>
      <c r="T36" s="44" t="s">
        <v>802</v>
      </c>
      <c r="V36" s="43">
        <v>1486</v>
      </c>
      <c r="W36" s="45" t="s">
        <v>1416</v>
      </c>
      <c r="X36" s="45" t="s">
        <v>1144</v>
      </c>
      <c r="Y36" s="45" t="s">
        <v>1417</v>
      </c>
      <c r="Z36" s="45" t="s">
        <v>79</v>
      </c>
      <c r="AA36" s="45" t="s">
        <v>533</v>
      </c>
      <c r="AB36" s="44" t="s">
        <v>1343</v>
      </c>
      <c r="AD36" s="46" t="s">
        <v>854</v>
      </c>
      <c r="AE36" s="47" t="s">
        <v>500</v>
      </c>
    </row>
    <row r="37" spans="1:31" x14ac:dyDescent="0.25">
      <c r="A37" s="43" t="s">
        <v>507</v>
      </c>
      <c r="B37" s="60" t="str">
        <f t="shared" si="0"/>
        <v>Hồ Chí Minh - Đắk Lắk</v>
      </c>
      <c r="C37" s="65" t="s">
        <v>550</v>
      </c>
      <c r="D37" s="61" t="s">
        <v>1340</v>
      </c>
      <c r="K37" s="40" t="s">
        <v>193</v>
      </c>
      <c r="L37" s="41" t="s">
        <v>2428</v>
      </c>
      <c r="M37" s="41" t="s">
        <v>500</v>
      </c>
      <c r="N37" s="41" t="s">
        <v>3139</v>
      </c>
      <c r="O37" s="41" t="s">
        <v>2369</v>
      </c>
      <c r="P37" s="41" t="s">
        <v>3145</v>
      </c>
      <c r="Q37" s="42" t="s">
        <v>500</v>
      </c>
      <c r="S37" s="43" t="s">
        <v>557</v>
      </c>
      <c r="T37" s="44" t="s">
        <v>767</v>
      </c>
      <c r="V37" s="43">
        <v>1418</v>
      </c>
      <c r="W37" s="45" t="s">
        <v>1418</v>
      </c>
      <c r="X37" s="45" t="s">
        <v>879</v>
      </c>
      <c r="Y37" s="45" t="s">
        <v>1419</v>
      </c>
      <c r="Z37" s="45" t="s">
        <v>122</v>
      </c>
      <c r="AA37" s="45" t="s">
        <v>507</v>
      </c>
      <c r="AB37" s="44" t="s">
        <v>15</v>
      </c>
      <c r="AD37" s="46" t="s">
        <v>855</v>
      </c>
      <c r="AE37" s="47" t="s">
        <v>500</v>
      </c>
    </row>
    <row r="38" spans="1:31" x14ac:dyDescent="0.25">
      <c r="A38" s="43" t="s">
        <v>507</v>
      </c>
      <c r="B38" s="60" t="str">
        <f t="shared" si="0"/>
        <v>Hồ Chí Minh - Kiên Giang</v>
      </c>
      <c r="C38" s="65" t="s">
        <v>502</v>
      </c>
      <c r="D38" s="61" t="s">
        <v>1340</v>
      </c>
      <c r="K38" s="40" t="s">
        <v>196</v>
      </c>
      <c r="L38" s="41" t="s">
        <v>2429</v>
      </c>
      <c r="M38" s="41" t="s">
        <v>500</v>
      </c>
      <c r="N38" s="41" t="s">
        <v>3139</v>
      </c>
      <c r="O38" s="41" t="s">
        <v>2369</v>
      </c>
      <c r="P38" s="41" t="s">
        <v>3145</v>
      </c>
      <c r="Q38" s="42" t="s">
        <v>500</v>
      </c>
      <c r="S38" s="43" t="s">
        <v>521</v>
      </c>
      <c r="T38" s="44" t="s">
        <v>802</v>
      </c>
      <c r="V38" s="43">
        <v>1236</v>
      </c>
      <c r="W38" s="45" t="s">
        <v>1420</v>
      </c>
      <c r="X38" s="45" t="s">
        <v>944</v>
      </c>
      <c r="Y38" s="45" t="s">
        <v>1421</v>
      </c>
      <c r="Z38" s="45" t="s">
        <v>13</v>
      </c>
      <c r="AA38" s="45" t="s">
        <v>549</v>
      </c>
      <c r="AB38" s="44" t="s">
        <v>1341</v>
      </c>
      <c r="AD38" s="46" t="s">
        <v>856</v>
      </c>
      <c r="AE38" s="47" t="s">
        <v>500</v>
      </c>
    </row>
    <row r="39" spans="1:31" x14ac:dyDescent="0.25">
      <c r="A39" s="43" t="s">
        <v>507</v>
      </c>
      <c r="B39" s="60" t="str">
        <f t="shared" si="0"/>
        <v>Hồ Chí Minh - Khánh Hòa</v>
      </c>
      <c r="C39" s="65" t="s">
        <v>713</v>
      </c>
      <c r="D39" s="61" t="s">
        <v>1340</v>
      </c>
      <c r="K39" s="40" t="s">
        <v>146</v>
      </c>
      <c r="L39" s="41" t="s">
        <v>2430</v>
      </c>
      <c r="M39" s="41" t="s">
        <v>500</v>
      </c>
      <c r="N39" s="41" t="s">
        <v>3139</v>
      </c>
      <c r="O39" s="41" t="s">
        <v>2369</v>
      </c>
      <c r="P39" s="41" t="s">
        <v>3145</v>
      </c>
      <c r="Q39" s="42" t="s">
        <v>500</v>
      </c>
      <c r="S39" s="43" t="s">
        <v>520</v>
      </c>
      <c r="T39" s="44" t="s">
        <v>802</v>
      </c>
      <c r="V39" s="43">
        <v>2301</v>
      </c>
      <c r="W39" s="45" t="s">
        <v>1422</v>
      </c>
      <c r="X39" s="45" t="s">
        <v>945</v>
      </c>
      <c r="Y39" s="45" t="s">
        <v>3240</v>
      </c>
      <c r="Z39" s="45" t="s">
        <v>440</v>
      </c>
      <c r="AA39" s="45" t="s">
        <v>553</v>
      </c>
      <c r="AB39" s="44" t="s">
        <v>1341</v>
      </c>
      <c r="AD39" s="46" t="s">
        <v>857</v>
      </c>
      <c r="AE39" s="47" t="s">
        <v>500</v>
      </c>
    </row>
    <row r="40" spans="1:31" x14ac:dyDescent="0.25">
      <c r="A40" s="43" t="s">
        <v>507</v>
      </c>
      <c r="B40" s="60" t="str">
        <f t="shared" si="0"/>
        <v>Hồ Chí Minh - An Giang</v>
      </c>
      <c r="C40" s="65" t="s">
        <v>540</v>
      </c>
      <c r="D40" s="61" t="s">
        <v>1340</v>
      </c>
      <c r="K40" s="40" t="s">
        <v>190</v>
      </c>
      <c r="L40" s="41" t="s">
        <v>2431</v>
      </c>
      <c r="M40" s="41" t="s">
        <v>500</v>
      </c>
      <c r="N40" s="41" t="s">
        <v>3139</v>
      </c>
      <c r="O40" s="41" t="s">
        <v>2369</v>
      </c>
      <c r="P40" s="41" t="s">
        <v>3145</v>
      </c>
      <c r="Q40" s="42" t="s">
        <v>500</v>
      </c>
      <c r="S40" s="43" t="s">
        <v>558</v>
      </c>
      <c r="T40" s="44" t="s">
        <v>767</v>
      </c>
      <c r="V40" s="43">
        <v>1385</v>
      </c>
      <c r="W40" s="45" t="s">
        <v>1423</v>
      </c>
      <c r="X40" s="45" t="s">
        <v>1145</v>
      </c>
      <c r="Y40" s="45" t="s">
        <v>1424</v>
      </c>
      <c r="Z40" s="45" t="s">
        <v>1321</v>
      </c>
      <c r="AA40" s="45" t="s">
        <v>535</v>
      </c>
      <c r="AB40" s="44" t="s">
        <v>1343</v>
      </c>
      <c r="AD40" s="46" t="s">
        <v>858</v>
      </c>
      <c r="AE40" s="47" t="s">
        <v>500</v>
      </c>
    </row>
    <row r="41" spans="1:31" x14ac:dyDescent="0.25">
      <c r="A41" s="43" t="s">
        <v>507</v>
      </c>
      <c r="B41" s="60" t="str">
        <f t="shared" si="0"/>
        <v>Hồ Chí Minh - Gia Lai</v>
      </c>
      <c r="C41" s="65" t="s">
        <v>554</v>
      </c>
      <c r="D41" s="61" t="s">
        <v>1340</v>
      </c>
      <c r="K41" s="40" t="s">
        <v>151</v>
      </c>
      <c r="L41" s="41" t="s">
        <v>2432</v>
      </c>
      <c r="M41" s="41" t="s">
        <v>500</v>
      </c>
      <c r="N41" s="41" t="s">
        <v>3139</v>
      </c>
      <c r="O41" s="41" t="s">
        <v>2369</v>
      </c>
      <c r="P41" s="41" t="s">
        <v>3145</v>
      </c>
      <c r="Q41" s="42" t="s">
        <v>500</v>
      </c>
      <c r="S41" s="43" t="s">
        <v>523</v>
      </c>
      <c r="T41" s="44" t="s">
        <v>802</v>
      </c>
      <c r="V41" s="43">
        <v>1567</v>
      </c>
      <c r="W41" s="45" t="s">
        <v>1425</v>
      </c>
      <c r="X41" s="45" t="s">
        <v>1146</v>
      </c>
      <c r="Y41" s="45" t="s">
        <v>1426</v>
      </c>
      <c r="Z41" s="45" t="s">
        <v>2322</v>
      </c>
      <c r="AA41" s="45" t="s">
        <v>527</v>
      </c>
      <c r="AB41" s="44" t="s">
        <v>1343</v>
      </c>
      <c r="AD41" s="46" t="s">
        <v>859</v>
      </c>
      <c r="AE41" s="47" t="s">
        <v>500</v>
      </c>
    </row>
    <row r="42" spans="1:31" x14ac:dyDescent="0.25">
      <c r="A42" s="43" t="s">
        <v>507</v>
      </c>
      <c r="B42" s="60" t="str">
        <f t="shared" si="0"/>
        <v>Hồ Chí Minh - Phú Yên</v>
      </c>
      <c r="C42" s="65" t="s">
        <v>560</v>
      </c>
      <c r="D42" s="61" t="s">
        <v>1340</v>
      </c>
      <c r="K42" s="40" t="s">
        <v>176</v>
      </c>
      <c r="L42" s="41" t="s">
        <v>2433</v>
      </c>
      <c r="M42" s="41" t="s">
        <v>500</v>
      </c>
      <c r="N42" s="41" t="s">
        <v>3139</v>
      </c>
      <c r="O42" s="41" t="s">
        <v>2369</v>
      </c>
      <c r="P42" s="41" t="s">
        <v>3145</v>
      </c>
      <c r="Q42" s="42" t="s">
        <v>500</v>
      </c>
      <c r="S42" s="43" t="s">
        <v>525</v>
      </c>
      <c r="T42" s="44" t="s">
        <v>802</v>
      </c>
      <c r="V42" s="43">
        <v>1083</v>
      </c>
      <c r="W42" s="45" t="s">
        <v>1427</v>
      </c>
      <c r="X42" s="45" t="s">
        <v>946</v>
      </c>
      <c r="Y42" s="45" t="s">
        <v>1428</v>
      </c>
      <c r="Z42" s="45" t="s">
        <v>84</v>
      </c>
      <c r="AA42" s="45" t="s">
        <v>553</v>
      </c>
      <c r="AB42" s="44" t="s">
        <v>1341</v>
      </c>
      <c r="AD42" s="46" t="s">
        <v>860</v>
      </c>
      <c r="AE42" s="47" t="s">
        <v>500</v>
      </c>
    </row>
    <row r="43" spans="1:31" x14ac:dyDescent="0.25">
      <c r="A43" s="43" t="s">
        <v>507</v>
      </c>
      <c r="B43" s="60" t="str">
        <f t="shared" si="0"/>
        <v>Hồ Chí Minh - Tây Ninh</v>
      </c>
      <c r="C43" s="65" t="s">
        <v>503</v>
      </c>
      <c r="D43" s="61" t="s">
        <v>1340</v>
      </c>
      <c r="K43" s="40" t="s">
        <v>1300</v>
      </c>
      <c r="L43" s="41" t="s">
        <v>2434</v>
      </c>
      <c r="M43" s="41" t="s">
        <v>500</v>
      </c>
      <c r="N43" s="41" t="s">
        <v>3139</v>
      </c>
      <c r="O43" s="41" t="s">
        <v>2369</v>
      </c>
      <c r="P43" s="41" t="s">
        <v>3145</v>
      </c>
      <c r="Q43" s="42" t="s">
        <v>500</v>
      </c>
      <c r="S43" s="43" t="s">
        <v>524</v>
      </c>
      <c r="T43" s="44" t="s">
        <v>802</v>
      </c>
      <c r="V43" s="43">
        <v>1397</v>
      </c>
      <c r="W43" s="45" t="s">
        <v>1429</v>
      </c>
      <c r="X43" s="45" t="s">
        <v>947</v>
      </c>
      <c r="Y43" s="45" t="s">
        <v>1430</v>
      </c>
      <c r="Z43" s="45" t="s">
        <v>335</v>
      </c>
      <c r="AA43" s="45" t="s">
        <v>552</v>
      </c>
      <c r="AB43" s="44" t="s">
        <v>1341</v>
      </c>
      <c r="AD43" s="46" t="s">
        <v>861</v>
      </c>
      <c r="AE43" s="47" t="s">
        <v>500</v>
      </c>
    </row>
    <row r="44" spans="1:31" ht="23" x14ac:dyDescent="0.25">
      <c r="A44" s="43" t="s">
        <v>507</v>
      </c>
      <c r="B44" s="60" t="str">
        <f t="shared" si="0"/>
        <v>Hồ Chí Minh - Ninh Thuận</v>
      </c>
      <c r="C44" s="65" t="s">
        <v>559</v>
      </c>
      <c r="D44" s="61" t="s">
        <v>1340</v>
      </c>
      <c r="K44" s="40" t="s">
        <v>199</v>
      </c>
      <c r="L44" s="41" t="s">
        <v>2435</v>
      </c>
      <c r="M44" s="41" t="s">
        <v>500</v>
      </c>
      <c r="N44" s="41" t="s">
        <v>3139</v>
      </c>
      <c r="O44" s="41" t="s">
        <v>2369</v>
      </c>
      <c r="P44" s="41" t="s">
        <v>3145</v>
      </c>
      <c r="Q44" s="42" t="s">
        <v>500</v>
      </c>
      <c r="S44" s="43" t="s">
        <v>559</v>
      </c>
      <c r="T44" s="44" t="s">
        <v>767</v>
      </c>
      <c r="V44" s="43">
        <v>2430</v>
      </c>
      <c r="W44" s="45" t="s">
        <v>1431</v>
      </c>
      <c r="X44" s="45" t="s">
        <v>948</v>
      </c>
      <c r="Y44" s="45" t="s">
        <v>1432</v>
      </c>
      <c r="Z44" s="45" t="s">
        <v>335</v>
      </c>
      <c r="AA44" s="45" t="s">
        <v>552</v>
      </c>
      <c r="AB44" s="44" t="s">
        <v>1341</v>
      </c>
      <c r="AD44" s="46" t="s">
        <v>862</v>
      </c>
      <c r="AE44" s="47" t="s">
        <v>500</v>
      </c>
    </row>
    <row r="45" spans="1:31" x14ac:dyDescent="0.25">
      <c r="A45" s="43" t="s">
        <v>507</v>
      </c>
      <c r="B45" s="60" t="str">
        <f t="shared" si="0"/>
        <v>Hồ Chí Minh - Tiền Giang</v>
      </c>
      <c r="C45" s="65" t="s">
        <v>563</v>
      </c>
      <c r="D45" s="61" t="s">
        <v>1340</v>
      </c>
      <c r="K45" s="40" t="s">
        <v>195</v>
      </c>
      <c r="L45" s="41" t="s">
        <v>2436</v>
      </c>
      <c r="M45" s="41" t="s">
        <v>500</v>
      </c>
      <c r="N45" s="41" t="s">
        <v>3139</v>
      </c>
      <c r="O45" s="41" t="s">
        <v>2369</v>
      </c>
      <c r="P45" s="41" t="s">
        <v>3145</v>
      </c>
      <c r="Q45" s="42" t="s">
        <v>500</v>
      </c>
      <c r="S45" s="43" t="s">
        <v>526</v>
      </c>
      <c r="T45" s="44" t="s">
        <v>802</v>
      </c>
      <c r="V45" s="43">
        <v>1313</v>
      </c>
      <c r="W45" s="45" t="s">
        <v>1433</v>
      </c>
      <c r="X45" s="45" t="s">
        <v>829</v>
      </c>
      <c r="Y45" s="45" t="s">
        <v>1434</v>
      </c>
      <c r="Z45" s="45" t="s">
        <v>153</v>
      </c>
      <c r="AA45" s="45" t="s">
        <v>500</v>
      </c>
      <c r="AB45" s="44" t="s">
        <v>500</v>
      </c>
      <c r="AD45" s="46" t="s">
        <v>863</v>
      </c>
      <c r="AE45" s="47" t="s">
        <v>500</v>
      </c>
    </row>
    <row r="46" spans="1:31" x14ac:dyDescent="0.25">
      <c r="A46" s="43" t="s">
        <v>507</v>
      </c>
      <c r="B46" s="60" t="str">
        <f t="shared" si="0"/>
        <v>Hồ Chí Minh - Đắk Nông</v>
      </c>
      <c r="C46" s="65" t="s">
        <v>551</v>
      </c>
      <c r="D46" s="61" t="s">
        <v>1340</v>
      </c>
      <c r="K46" s="40" t="s">
        <v>191</v>
      </c>
      <c r="L46" s="41" t="s">
        <v>2437</v>
      </c>
      <c r="M46" s="41" t="s">
        <v>500</v>
      </c>
      <c r="N46" s="41" t="s">
        <v>3139</v>
      </c>
      <c r="O46" s="41" t="s">
        <v>2369</v>
      </c>
      <c r="P46" s="41" t="s">
        <v>3145</v>
      </c>
      <c r="Q46" s="42" t="s">
        <v>500</v>
      </c>
      <c r="S46" s="43" t="s">
        <v>560</v>
      </c>
      <c r="T46" s="44" t="s">
        <v>767</v>
      </c>
      <c r="V46" s="43">
        <v>1296</v>
      </c>
      <c r="W46" s="45" t="s">
        <v>1435</v>
      </c>
      <c r="X46" s="45" t="s">
        <v>830</v>
      </c>
      <c r="Y46" s="45" t="s">
        <v>1436</v>
      </c>
      <c r="Z46" s="45" t="s">
        <v>155</v>
      </c>
      <c r="AA46" s="45" t="s">
        <v>500</v>
      </c>
      <c r="AB46" s="44" t="s">
        <v>500</v>
      </c>
      <c r="AD46" s="46" t="s">
        <v>864</v>
      </c>
      <c r="AE46" s="47" t="s">
        <v>500</v>
      </c>
    </row>
    <row r="47" spans="1:31" x14ac:dyDescent="0.25">
      <c r="A47" s="43" t="s">
        <v>507</v>
      </c>
      <c r="B47" s="60" t="str">
        <f t="shared" si="0"/>
        <v>Hồ Chí Minh - Long An</v>
      </c>
      <c r="C47" s="65" t="s">
        <v>558</v>
      </c>
      <c r="D47" s="61" t="s">
        <v>1340</v>
      </c>
      <c r="K47" s="40" t="s">
        <v>109</v>
      </c>
      <c r="L47" s="41" t="s">
        <v>2438</v>
      </c>
      <c r="M47" s="41" t="s">
        <v>507</v>
      </c>
      <c r="N47" s="41" t="s">
        <v>3142</v>
      </c>
      <c r="O47" s="41" t="s">
        <v>2369</v>
      </c>
      <c r="P47" s="41" t="s">
        <v>3140</v>
      </c>
      <c r="Q47" s="42" t="s">
        <v>15</v>
      </c>
      <c r="S47" s="43" t="s">
        <v>536</v>
      </c>
      <c r="T47" s="44" t="s">
        <v>805</v>
      </c>
      <c r="V47" s="43">
        <v>1085</v>
      </c>
      <c r="W47" s="45" t="s">
        <v>1437</v>
      </c>
      <c r="X47" s="45" t="s">
        <v>949</v>
      </c>
      <c r="Y47" s="45" t="s">
        <v>3117</v>
      </c>
      <c r="Z47" s="45" t="s">
        <v>11</v>
      </c>
      <c r="AA47" s="45" t="s">
        <v>549</v>
      </c>
      <c r="AB47" s="44" t="s">
        <v>1341</v>
      </c>
      <c r="AD47" s="46" t="s">
        <v>865</v>
      </c>
      <c r="AE47" s="47" t="s">
        <v>500</v>
      </c>
    </row>
    <row r="48" spans="1:31" x14ac:dyDescent="0.25">
      <c r="A48" s="43" t="s">
        <v>507</v>
      </c>
      <c r="B48" s="60" t="str">
        <f t="shared" si="0"/>
        <v>Hồ Chí Minh - Kon Tum</v>
      </c>
      <c r="C48" s="65" t="s">
        <v>556</v>
      </c>
      <c r="D48" s="61" t="s">
        <v>1340</v>
      </c>
      <c r="K48" s="40" t="s">
        <v>117</v>
      </c>
      <c r="L48" s="41" t="s">
        <v>2439</v>
      </c>
      <c r="M48" s="41" t="s">
        <v>507</v>
      </c>
      <c r="N48" s="41" t="s">
        <v>3142</v>
      </c>
      <c r="O48" s="41" t="s">
        <v>2369</v>
      </c>
      <c r="P48" s="41" t="s">
        <v>3140</v>
      </c>
      <c r="Q48" s="42" t="s">
        <v>15</v>
      </c>
      <c r="S48" s="43" t="s">
        <v>538</v>
      </c>
      <c r="T48" s="44" t="s">
        <v>805</v>
      </c>
      <c r="V48" s="43">
        <v>1504</v>
      </c>
      <c r="W48" s="45" t="s">
        <v>1438</v>
      </c>
      <c r="X48" s="45" t="s">
        <v>950</v>
      </c>
      <c r="Y48" s="45" t="s">
        <v>3119</v>
      </c>
      <c r="Z48" s="45" t="s">
        <v>33</v>
      </c>
      <c r="AA48" s="45" t="s">
        <v>549</v>
      </c>
      <c r="AB48" s="44" t="s">
        <v>1341</v>
      </c>
      <c r="AD48" s="46" t="s">
        <v>866</v>
      </c>
      <c r="AE48" s="47" t="s">
        <v>500</v>
      </c>
    </row>
    <row r="49" spans="1:31" ht="23" x14ac:dyDescent="0.25">
      <c r="A49" s="43" t="s">
        <v>507</v>
      </c>
      <c r="B49" s="60" t="str">
        <f t="shared" si="0"/>
        <v>Hồ Chí Minh - Bình Thuận</v>
      </c>
      <c r="C49" s="65" t="s">
        <v>547</v>
      </c>
      <c r="D49" s="61" t="s">
        <v>1340</v>
      </c>
      <c r="K49" s="40" t="s">
        <v>127</v>
      </c>
      <c r="L49" s="41" t="s">
        <v>2440</v>
      </c>
      <c r="M49" s="41" t="s">
        <v>507</v>
      </c>
      <c r="N49" s="41" t="s">
        <v>3142</v>
      </c>
      <c r="O49" s="41" t="s">
        <v>2369</v>
      </c>
      <c r="P49" s="41" t="s">
        <v>3140</v>
      </c>
      <c r="Q49" s="42" t="s">
        <v>15</v>
      </c>
      <c r="S49" s="43" t="s">
        <v>539</v>
      </c>
      <c r="T49" s="44" t="s">
        <v>805</v>
      </c>
      <c r="V49" s="43">
        <v>1552</v>
      </c>
      <c r="W49" s="45" t="s">
        <v>1439</v>
      </c>
      <c r="X49" s="45" t="s">
        <v>951</v>
      </c>
      <c r="Y49" s="45" t="s">
        <v>1440</v>
      </c>
      <c r="Z49" s="45" t="s">
        <v>11</v>
      </c>
      <c r="AA49" s="45" t="s">
        <v>549</v>
      </c>
      <c r="AB49" s="44" t="s">
        <v>1341</v>
      </c>
      <c r="AD49" s="46" t="s">
        <v>867</v>
      </c>
      <c r="AE49" s="47" t="s">
        <v>500</v>
      </c>
    </row>
    <row r="50" spans="1:31" ht="20.25" customHeight="1" x14ac:dyDescent="0.25">
      <c r="A50" s="43" t="s">
        <v>507</v>
      </c>
      <c r="B50" s="60" t="str">
        <f t="shared" si="0"/>
        <v>Hồ Chí Minh - Sóc Trăng</v>
      </c>
      <c r="C50" s="65" t="s">
        <v>561</v>
      </c>
      <c r="D50" s="61" t="s">
        <v>1340</v>
      </c>
      <c r="K50" s="40" t="s">
        <v>125</v>
      </c>
      <c r="L50" s="41" t="s">
        <v>2441</v>
      </c>
      <c r="M50" s="41" t="s">
        <v>507</v>
      </c>
      <c r="N50" s="41" t="s">
        <v>3142</v>
      </c>
      <c r="O50" s="41" t="s">
        <v>2369</v>
      </c>
      <c r="P50" s="41" t="s">
        <v>3140</v>
      </c>
      <c r="Q50" s="42" t="s">
        <v>15</v>
      </c>
      <c r="S50" s="43" t="s">
        <v>527</v>
      </c>
      <c r="T50" s="44" t="s">
        <v>802</v>
      </c>
      <c r="V50" s="43">
        <v>1403</v>
      </c>
      <c r="W50" s="45" t="s">
        <v>1441</v>
      </c>
      <c r="X50" s="45" t="s">
        <v>1147</v>
      </c>
      <c r="Y50" s="45" t="s">
        <v>3218</v>
      </c>
      <c r="Z50" s="45" t="s">
        <v>19</v>
      </c>
      <c r="AA50" s="45" t="s">
        <v>508</v>
      </c>
      <c r="AB50" s="44" t="s">
        <v>1343</v>
      </c>
      <c r="AD50" s="46" t="s">
        <v>868</v>
      </c>
      <c r="AE50" s="47" t="s">
        <v>500</v>
      </c>
    </row>
    <row r="51" spans="1:31" x14ac:dyDescent="0.25">
      <c r="A51" s="43" t="s">
        <v>507</v>
      </c>
      <c r="B51" s="60" t="str">
        <f t="shared" si="0"/>
        <v>Hồ Chí Minh - Cà Mau</v>
      </c>
      <c r="C51" s="65" t="s">
        <v>548</v>
      </c>
      <c r="D51" s="61" t="s">
        <v>1340</v>
      </c>
      <c r="K51" s="40" t="s">
        <v>111</v>
      </c>
      <c r="L51" s="41" t="s">
        <v>2442</v>
      </c>
      <c r="M51" s="41" t="s">
        <v>507</v>
      </c>
      <c r="N51" s="41" t="s">
        <v>3142</v>
      </c>
      <c r="O51" s="41" t="s">
        <v>2369</v>
      </c>
      <c r="P51" s="41" t="s">
        <v>3140</v>
      </c>
      <c r="Q51" s="42" t="s">
        <v>15</v>
      </c>
      <c r="S51" s="43" t="s">
        <v>537</v>
      </c>
      <c r="T51" s="44" t="s">
        <v>805</v>
      </c>
      <c r="V51" s="43">
        <v>1517</v>
      </c>
      <c r="W51" s="45" t="s">
        <v>1442</v>
      </c>
      <c r="X51" s="45" t="s">
        <v>1148</v>
      </c>
      <c r="Y51" s="45" t="s">
        <v>1443</v>
      </c>
      <c r="Z51" s="45" t="s">
        <v>2323</v>
      </c>
      <c r="AA51" s="45" t="s">
        <v>530</v>
      </c>
      <c r="AB51" s="44" t="s">
        <v>1343</v>
      </c>
      <c r="AD51" s="46" t="s">
        <v>869</v>
      </c>
      <c r="AE51" s="47" t="s">
        <v>500</v>
      </c>
    </row>
    <row r="52" spans="1:31" ht="23" x14ac:dyDescent="0.25">
      <c r="A52" s="43" t="s">
        <v>507</v>
      </c>
      <c r="B52" s="60" t="str">
        <f t="shared" si="0"/>
        <v>Hồ Chí Minh - Bà Rịa – Vũng Tàu</v>
      </c>
      <c r="C52" s="65" t="s">
        <v>541</v>
      </c>
      <c r="D52" s="61" t="s">
        <v>1340</v>
      </c>
      <c r="K52" s="40" t="s">
        <v>121</v>
      </c>
      <c r="L52" s="41" t="s">
        <v>2443</v>
      </c>
      <c r="M52" s="41" t="s">
        <v>507</v>
      </c>
      <c r="N52" s="41" t="s">
        <v>3142</v>
      </c>
      <c r="O52" s="41" t="s">
        <v>2369</v>
      </c>
      <c r="P52" s="41" t="s">
        <v>3140</v>
      </c>
      <c r="Q52" s="42" t="s">
        <v>15</v>
      </c>
      <c r="S52" s="43" t="s">
        <v>561</v>
      </c>
      <c r="T52" s="44" t="s">
        <v>767</v>
      </c>
      <c r="V52" s="43">
        <v>1544</v>
      </c>
      <c r="W52" s="45" t="s">
        <v>1444</v>
      </c>
      <c r="X52" s="45" t="s">
        <v>952</v>
      </c>
      <c r="Y52" s="45" t="s">
        <v>1445</v>
      </c>
      <c r="Z52" s="45" t="s">
        <v>782</v>
      </c>
      <c r="AA52" s="45" t="s">
        <v>541</v>
      </c>
      <c r="AB52" s="44" t="s">
        <v>1341</v>
      </c>
      <c r="AD52" s="46" t="s">
        <v>870</v>
      </c>
      <c r="AE52" s="47" t="s">
        <v>500</v>
      </c>
    </row>
    <row r="53" spans="1:31" ht="12" thickBot="1" x14ac:dyDescent="0.3">
      <c r="A53" s="67" t="s">
        <v>507</v>
      </c>
      <c r="B53" s="68" t="str">
        <f t="shared" si="0"/>
        <v>Hồ Chí Minh - Trà Vinh</v>
      </c>
      <c r="C53" s="69" t="s">
        <v>564</v>
      </c>
      <c r="D53" s="70" t="s">
        <v>1340</v>
      </c>
      <c r="K53" s="40" t="s">
        <v>118</v>
      </c>
      <c r="L53" s="41" t="s">
        <v>2444</v>
      </c>
      <c r="M53" s="41" t="s">
        <v>507</v>
      </c>
      <c r="N53" s="41" t="s">
        <v>3142</v>
      </c>
      <c r="O53" s="41" t="s">
        <v>2369</v>
      </c>
      <c r="P53" s="41" t="s">
        <v>3140</v>
      </c>
      <c r="Q53" s="42" t="s">
        <v>15</v>
      </c>
      <c r="S53" s="43" t="s">
        <v>528</v>
      </c>
      <c r="T53" s="44" t="s">
        <v>802</v>
      </c>
      <c r="V53" s="43">
        <v>2442</v>
      </c>
      <c r="W53" s="45" t="s">
        <v>1446</v>
      </c>
      <c r="X53" s="45" t="s">
        <v>880</v>
      </c>
      <c r="Y53" s="45" t="s">
        <v>1447</v>
      </c>
      <c r="Z53" s="45" t="s">
        <v>117</v>
      </c>
      <c r="AA53" s="45" t="s">
        <v>507</v>
      </c>
      <c r="AB53" s="44" t="s">
        <v>15</v>
      </c>
      <c r="AD53" s="46" t="s">
        <v>871</v>
      </c>
      <c r="AE53" s="47" t="s">
        <v>500</v>
      </c>
    </row>
    <row r="54" spans="1:31" x14ac:dyDescent="0.25">
      <c r="K54" s="40" t="s">
        <v>122</v>
      </c>
      <c r="L54" s="41" t="s">
        <v>2445</v>
      </c>
      <c r="M54" s="41" t="s">
        <v>507</v>
      </c>
      <c r="N54" s="41" t="s">
        <v>3142</v>
      </c>
      <c r="O54" s="41" t="s">
        <v>2369</v>
      </c>
      <c r="P54" s="41" t="s">
        <v>3140</v>
      </c>
      <c r="Q54" s="42" t="s">
        <v>15</v>
      </c>
      <c r="S54" s="43" t="s">
        <v>503</v>
      </c>
      <c r="T54" s="44" t="s">
        <v>767</v>
      </c>
      <c r="V54" s="43">
        <v>1304</v>
      </c>
      <c r="W54" s="45" t="s">
        <v>1448</v>
      </c>
      <c r="X54" s="45" t="s">
        <v>881</v>
      </c>
      <c r="Y54" s="45" t="s">
        <v>3243</v>
      </c>
      <c r="Z54" s="45" t="s">
        <v>117</v>
      </c>
      <c r="AA54" s="45" t="s">
        <v>507</v>
      </c>
      <c r="AB54" s="44" t="s">
        <v>15</v>
      </c>
      <c r="AD54" s="46" t="s">
        <v>872</v>
      </c>
      <c r="AE54" s="47" t="s">
        <v>500</v>
      </c>
    </row>
    <row r="55" spans="1:31" x14ac:dyDescent="0.25">
      <c r="K55" s="40" t="s">
        <v>120</v>
      </c>
      <c r="L55" s="41" t="s">
        <v>2446</v>
      </c>
      <c r="M55" s="41" t="s">
        <v>507</v>
      </c>
      <c r="N55" s="41" t="s">
        <v>3142</v>
      </c>
      <c r="O55" s="41" t="s">
        <v>2369</v>
      </c>
      <c r="P55" s="41" t="s">
        <v>3140</v>
      </c>
      <c r="Q55" s="42" t="s">
        <v>15</v>
      </c>
      <c r="S55" s="43" t="s">
        <v>530</v>
      </c>
      <c r="T55" s="44" t="s">
        <v>802</v>
      </c>
      <c r="V55" s="43">
        <v>1420</v>
      </c>
      <c r="W55" s="45" t="s">
        <v>1449</v>
      </c>
      <c r="X55" s="45" t="s">
        <v>882</v>
      </c>
      <c r="Y55" s="45" t="s">
        <v>1450</v>
      </c>
      <c r="Z55" s="45" t="s">
        <v>115</v>
      </c>
      <c r="AA55" s="45" t="s">
        <v>507</v>
      </c>
      <c r="AB55" s="44" t="s">
        <v>15</v>
      </c>
      <c r="AD55" s="46" t="s">
        <v>873</v>
      </c>
      <c r="AE55" s="47" t="s">
        <v>500</v>
      </c>
    </row>
    <row r="56" spans="1:31" x14ac:dyDescent="0.25">
      <c r="K56" s="40" t="s">
        <v>112</v>
      </c>
      <c r="L56" s="41" t="s">
        <v>2447</v>
      </c>
      <c r="M56" s="41" t="s">
        <v>507</v>
      </c>
      <c r="N56" s="41" t="s">
        <v>3142</v>
      </c>
      <c r="O56" s="41" t="s">
        <v>2369</v>
      </c>
      <c r="P56" s="41" t="s">
        <v>3140</v>
      </c>
      <c r="Q56" s="42" t="s">
        <v>15</v>
      </c>
      <c r="S56" s="43" t="s">
        <v>531</v>
      </c>
      <c r="T56" s="44" t="s">
        <v>802</v>
      </c>
      <c r="V56" s="43">
        <v>1399</v>
      </c>
      <c r="W56" s="45" t="s">
        <v>1451</v>
      </c>
      <c r="X56" s="45" t="s">
        <v>953</v>
      </c>
      <c r="Y56" s="45" t="s">
        <v>1452</v>
      </c>
      <c r="Z56" s="45" t="s">
        <v>186</v>
      </c>
      <c r="AA56" s="45" t="s">
        <v>544</v>
      </c>
      <c r="AB56" s="44" t="s">
        <v>1341</v>
      </c>
      <c r="AD56" s="46" t="s">
        <v>874</v>
      </c>
      <c r="AE56" s="47" t="s">
        <v>500</v>
      </c>
    </row>
    <row r="57" spans="1:31" ht="17.25" customHeight="1" x14ac:dyDescent="0.25">
      <c r="K57" s="40" t="s">
        <v>114</v>
      </c>
      <c r="L57" s="41" t="s">
        <v>2448</v>
      </c>
      <c r="M57" s="41" t="s">
        <v>507</v>
      </c>
      <c r="N57" s="41" t="s">
        <v>3142</v>
      </c>
      <c r="O57" s="41" t="s">
        <v>2369</v>
      </c>
      <c r="P57" s="41" t="s">
        <v>3140</v>
      </c>
      <c r="Q57" s="42" t="s">
        <v>15</v>
      </c>
      <c r="S57" s="43" t="s">
        <v>532</v>
      </c>
      <c r="T57" s="44" t="s">
        <v>802</v>
      </c>
      <c r="V57" s="43">
        <v>1353</v>
      </c>
      <c r="W57" s="45" t="s">
        <v>1453</v>
      </c>
      <c r="X57" s="45" t="s">
        <v>831</v>
      </c>
      <c r="Y57" s="45" t="s">
        <v>3224</v>
      </c>
      <c r="Z57" s="45" t="s">
        <v>52</v>
      </c>
      <c r="AA57" s="45" t="s">
        <v>500</v>
      </c>
      <c r="AB57" s="44" t="s">
        <v>500</v>
      </c>
      <c r="AD57" s="46" t="s">
        <v>875</v>
      </c>
      <c r="AE57" s="47" t="s">
        <v>500</v>
      </c>
    </row>
    <row r="58" spans="1:31" ht="17.25" customHeight="1" x14ac:dyDescent="0.25">
      <c r="K58" s="40" t="s">
        <v>115</v>
      </c>
      <c r="L58" s="41" t="s">
        <v>2449</v>
      </c>
      <c r="M58" s="41" t="s">
        <v>507</v>
      </c>
      <c r="N58" s="41" t="s">
        <v>3142</v>
      </c>
      <c r="O58" s="41" t="s">
        <v>2369</v>
      </c>
      <c r="P58" s="41" t="s">
        <v>3140</v>
      </c>
      <c r="Q58" s="42" t="s">
        <v>15</v>
      </c>
      <c r="S58" s="43" t="s">
        <v>806</v>
      </c>
      <c r="T58" s="44" t="s">
        <v>805</v>
      </c>
      <c r="V58" s="43">
        <v>2416</v>
      </c>
      <c r="W58" s="45" t="s">
        <v>1454</v>
      </c>
      <c r="X58" s="45" t="s">
        <v>954</v>
      </c>
      <c r="Y58" s="45" t="s">
        <v>1455</v>
      </c>
      <c r="Z58" s="45" t="s">
        <v>458</v>
      </c>
      <c r="AA58" s="45" t="s">
        <v>503</v>
      </c>
      <c r="AB58" s="44" t="s">
        <v>1341</v>
      </c>
      <c r="AD58" s="46" t="s">
        <v>876</v>
      </c>
      <c r="AE58" s="47" t="s">
        <v>500</v>
      </c>
    </row>
    <row r="59" spans="1:31" ht="17.25" customHeight="1" x14ac:dyDescent="0.25">
      <c r="K59" s="40" t="s">
        <v>113</v>
      </c>
      <c r="L59" s="41" t="s">
        <v>2450</v>
      </c>
      <c r="M59" s="41" t="s">
        <v>507</v>
      </c>
      <c r="N59" s="41" t="s">
        <v>3142</v>
      </c>
      <c r="O59" s="41" t="s">
        <v>2369</v>
      </c>
      <c r="P59" s="41" t="s">
        <v>3140</v>
      </c>
      <c r="Q59" s="42" t="s">
        <v>15</v>
      </c>
      <c r="S59" s="43" t="s">
        <v>563</v>
      </c>
      <c r="T59" s="44" t="s">
        <v>767</v>
      </c>
      <c r="V59" s="43">
        <v>1893</v>
      </c>
      <c r="W59" s="45" t="s">
        <v>1456</v>
      </c>
      <c r="X59" s="45" t="s">
        <v>1149</v>
      </c>
      <c r="Y59" s="45" t="s">
        <v>1457</v>
      </c>
      <c r="Z59" s="45" t="s">
        <v>2324</v>
      </c>
      <c r="AA59" s="45" t="s">
        <v>527</v>
      </c>
      <c r="AB59" s="44" t="s">
        <v>1343</v>
      </c>
      <c r="AD59" s="46" t="s">
        <v>877</v>
      </c>
      <c r="AE59" s="47" t="s">
        <v>500</v>
      </c>
    </row>
    <row r="60" spans="1:31" ht="17.25" customHeight="1" x14ac:dyDescent="0.25">
      <c r="K60" s="40" t="s">
        <v>110</v>
      </c>
      <c r="L60" s="41" t="s">
        <v>2451</v>
      </c>
      <c r="M60" s="41" t="s">
        <v>507</v>
      </c>
      <c r="N60" s="41" t="s">
        <v>3142</v>
      </c>
      <c r="O60" s="41" t="s">
        <v>2369</v>
      </c>
      <c r="P60" s="41" t="s">
        <v>3140</v>
      </c>
      <c r="Q60" s="42" t="s">
        <v>15</v>
      </c>
      <c r="S60" s="43" t="s">
        <v>564</v>
      </c>
      <c r="T60" s="44" t="s">
        <v>767</v>
      </c>
      <c r="V60" s="43">
        <v>1178</v>
      </c>
      <c r="W60" s="45" t="s">
        <v>1458</v>
      </c>
      <c r="X60" s="45" t="s">
        <v>1087</v>
      </c>
      <c r="Y60" s="45" t="s">
        <v>1459</v>
      </c>
      <c r="Z60" s="45" t="s">
        <v>59</v>
      </c>
      <c r="AA60" s="45" t="s">
        <v>564</v>
      </c>
      <c r="AB60" s="44" t="s">
        <v>1341</v>
      </c>
      <c r="AD60" s="46" t="s">
        <v>878</v>
      </c>
      <c r="AE60" s="47" t="s">
        <v>500</v>
      </c>
    </row>
    <row r="61" spans="1:31" ht="17.25" customHeight="1" x14ac:dyDescent="0.25">
      <c r="K61" s="40" t="s">
        <v>23</v>
      </c>
      <c r="L61" s="41" t="s">
        <v>2452</v>
      </c>
      <c r="M61" s="41" t="s">
        <v>507</v>
      </c>
      <c r="N61" s="41" t="s">
        <v>3142</v>
      </c>
      <c r="O61" s="41" t="s">
        <v>2369</v>
      </c>
      <c r="P61" s="41" t="s">
        <v>3140</v>
      </c>
      <c r="Q61" s="42" t="s">
        <v>15</v>
      </c>
      <c r="S61" s="43" t="s">
        <v>529</v>
      </c>
      <c r="T61" s="44" t="s">
        <v>802</v>
      </c>
      <c r="V61" s="43">
        <v>1620</v>
      </c>
      <c r="W61" s="45" t="s">
        <v>1460</v>
      </c>
      <c r="X61" s="45" t="s">
        <v>1150</v>
      </c>
      <c r="Y61" s="45" t="s">
        <v>1461</v>
      </c>
      <c r="Z61" s="45" t="s">
        <v>170</v>
      </c>
      <c r="AA61" s="45" t="s">
        <v>509</v>
      </c>
      <c r="AB61" s="44" t="s">
        <v>1343</v>
      </c>
      <c r="AD61" s="46" t="s">
        <v>797</v>
      </c>
      <c r="AE61" s="47" t="s">
        <v>500</v>
      </c>
    </row>
    <row r="62" spans="1:31" ht="17.25" customHeight="1" x14ac:dyDescent="0.25">
      <c r="K62" s="40" t="s">
        <v>109</v>
      </c>
      <c r="L62" s="41" t="s">
        <v>2438</v>
      </c>
      <c r="M62" s="41" t="s">
        <v>507</v>
      </c>
      <c r="N62" s="41" t="s">
        <v>3142</v>
      </c>
      <c r="O62" s="41" t="s">
        <v>2369</v>
      </c>
      <c r="P62" s="41" t="s">
        <v>3140</v>
      </c>
      <c r="Q62" s="42" t="s">
        <v>15</v>
      </c>
      <c r="S62" s="43" t="s">
        <v>565</v>
      </c>
      <c r="T62" s="44" t="s">
        <v>767</v>
      </c>
      <c r="V62" s="43">
        <v>1924</v>
      </c>
      <c r="W62" s="45" t="s">
        <v>1462</v>
      </c>
      <c r="X62" s="45" t="s">
        <v>955</v>
      </c>
      <c r="Y62" s="45" t="s">
        <v>1463</v>
      </c>
      <c r="Z62" s="45" t="s">
        <v>2325</v>
      </c>
      <c r="AA62" s="45" t="s">
        <v>552</v>
      </c>
      <c r="AB62" s="44" t="s">
        <v>1341</v>
      </c>
      <c r="AD62" s="46" t="s">
        <v>879</v>
      </c>
      <c r="AE62" s="47" t="s">
        <v>507</v>
      </c>
    </row>
    <row r="63" spans="1:31" ht="17.25" customHeight="1" x14ac:dyDescent="0.25">
      <c r="K63" s="40" t="s">
        <v>117</v>
      </c>
      <c r="L63" s="41" t="s">
        <v>2439</v>
      </c>
      <c r="M63" s="41" t="s">
        <v>507</v>
      </c>
      <c r="N63" s="41" t="s">
        <v>3142</v>
      </c>
      <c r="O63" s="41" t="s">
        <v>2369</v>
      </c>
      <c r="P63" s="41" t="s">
        <v>3140</v>
      </c>
      <c r="Q63" s="42" t="s">
        <v>15</v>
      </c>
      <c r="S63" s="43" t="s">
        <v>533</v>
      </c>
      <c r="T63" s="44" t="s">
        <v>802</v>
      </c>
      <c r="V63" s="43">
        <v>1541</v>
      </c>
      <c r="W63" s="45" t="s">
        <v>1464</v>
      </c>
      <c r="X63" s="45" t="s">
        <v>1151</v>
      </c>
      <c r="Y63" s="45" t="s">
        <v>1465</v>
      </c>
      <c r="Z63" s="45" t="s">
        <v>2326</v>
      </c>
      <c r="AA63" s="45" t="s">
        <v>521</v>
      </c>
      <c r="AB63" s="44" t="s">
        <v>1343</v>
      </c>
      <c r="AD63" s="46" t="s">
        <v>880</v>
      </c>
      <c r="AE63" s="47" t="s">
        <v>507</v>
      </c>
    </row>
    <row r="64" spans="1:31" ht="17.25" customHeight="1" thickBot="1" x14ac:dyDescent="0.3">
      <c r="K64" s="40" t="s">
        <v>127</v>
      </c>
      <c r="L64" s="41" t="s">
        <v>2440</v>
      </c>
      <c r="M64" s="41" t="s">
        <v>507</v>
      </c>
      <c r="N64" s="41" t="s">
        <v>3142</v>
      </c>
      <c r="O64" s="41" t="s">
        <v>2369</v>
      </c>
      <c r="P64" s="41" t="s">
        <v>3140</v>
      </c>
      <c r="Q64" s="42" t="s">
        <v>15</v>
      </c>
      <c r="S64" s="67" t="s">
        <v>534</v>
      </c>
      <c r="T64" s="71" t="s">
        <v>802</v>
      </c>
      <c r="V64" s="43">
        <v>2378</v>
      </c>
      <c r="W64" s="45" t="s">
        <v>1466</v>
      </c>
      <c r="X64" s="45" t="s">
        <v>956</v>
      </c>
      <c r="Y64" s="45" t="s">
        <v>1467</v>
      </c>
      <c r="Z64" s="45" t="s">
        <v>177</v>
      </c>
      <c r="AA64" s="45" t="s">
        <v>558</v>
      </c>
      <c r="AB64" s="44" t="s">
        <v>1341</v>
      </c>
      <c r="AD64" s="46" t="s">
        <v>881</v>
      </c>
      <c r="AE64" s="47" t="s">
        <v>507</v>
      </c>
    </row>
    <row r="65" spans="11:31" x14ac:dyDescent="0.25">
      <c r="K65" s="40" t="s">
        <v>125</v>
      </c>
      <c r="L65" s="41" t="s">
        <v>2441</v>
      </c>
      <c r="M65" s="41" t="s">
        <v>507</v>
      </c>
      <c r="N65" s="41" t="s">
        <v>3142</v>
      </c>
      <c r="O65" s="41" t="s">
        <v>2369</v>
      </c>
      <c r="P65" s="41" t="s">
        <v>3140</v>
      </c>
      <c r="Q65" s="42" t="s">
        <v>15</v>
      </c>
      <c r="V65" s="43">
        <v>1147</v>
      </c>
      <c r="W65" s="45" t="s">
        <v>1468</v>
      </c>
      <c r="X65" s="45" t="s">
        <v>957</v>
      </c>
      <c r="Y65" s="45" t="s">
        <v>1469</v>
      </c>
      <c r="Z65" s="45" t="s">
        <v>63</v>
      </c>
      <c r="AA65" s="45" t="s">
        <v>551</v>
      </c>
      <c r="AB65" s="44" t="s">
        <v>1341</v>
      </c>
      <c r="AD65" s="46" t="s">
        <v>882</v>
      </c>
      <c r="AE65" s="47" t="s">
        <v>507</v>
      </c>
    </row>
    <row r="66" spans="11:31" x14ac:dyDescent="0.25">
      <c r="K66" s="40" t="s">
        <v>111</v>
      </c>
      <c r="L66" s="41" t="s">
        <v>2442</v>
      </c>
      <c r="M66" s="41" t="s">
        <v>507</v>
      </c>
      <c r="N66" s="41" t="s">
        <v>3142</v>
      </c>
      <c r="O66" s="41" t="s">
        <v>2369</v>
      </c>
      <c r="P66" s="41" t="s">
        <v>3140</v>
      </c>
      <c r="Q66" s="42" t="s">
        <v>15</v>
      </c>
      <c r="V66" s="43">
        <v>2437</v>
      </c>
      <c r="W66" s="45" t="s">
        <v>1470</v>
      </c>
      <c r="X66" s="45" t="s">
        <v>883</v>
      </c>
      <c r="Y66" s="45" t="s">
        <v>1471</v>
      </c>
      <c r="Z66" s="45" t="s">
        <v>110</v>
      </c>
      <c r="AA66" s="45" t="s">
        <v>507</v>
      </c>
      <c r="AB66" s="44" t="s">
        <v>15</v>
      </c>
      <c r="AD66" s="46" t="s">
        <v>883</v>
      </c>
      <c r="AE66" s="47" t="s">
        <v>507</v>
      </c>
    </row>
    <row r="67" spans="11:31" x14ac:dyDescent="0.25">
      <c r="K67" s="40" t="s">
        <v>121</v>
      </c>
      <c r="L67" s="41" t="s">
        <v>2443</v>
      </c>
      <c r="M67" s="41" t="s">
        <v>507</v>
      </c>
      <c r="N67" s="41" t="s">
        <v>3142</v>
      </c>
      <c r="O67" s="41" t="s">
        <v>2369</v>
      </c>
      <c r="P67" s="41" t="s">
        <v>3140</v>
      </c>
      <c r="Q67" s="42" t="s">
        <v>15</v>
      </c>
      <c r="V67" s="43">
        <v>1615</v>
      </c>
      <c r="W67" s="45" t="s">
        <v>1472</v>
      </c>
      <c r="X67" s="45" t="s">
        <v>884</v>
      </c>
      <c r="Y67" s="45" t="s">
        <v>1473</v>
      </c>
      <c r="Z67" s="45" t="s">
        <v>110</v>
      </c>
      <c r="AA67" s="45" t="s">
        <v>507</v>
      </c>
      <c r="AB67" s="44" t="s">
        <v>15</v>
      </c>
      <c r="AD67" s="46" t="s">
        <v>884</v>
      </c>
      <c r="AE67" s="47" t="s">
        <v>507</v>
      </c>
    </row>
    <row r="68" spans="11:31" x14ac:dyDescent="0.25">
      <c r="K68" s="40" t="s">
        <v>118</v>
      </c>
      <c r="L68" s="41" t="s">
        <v>2444</v>
      </c>
      <c r="M68" s="41" t="s">
        <v>507</v>
      </c>
      <c r="N68" s="41" t="s">
        <v>3142</v>
      </c>
      <c r="O68" s="41" t="s">
        <v>2369</v>
      </c>
      <c r="P68" s="41" t="s">
        <v>3140</v>
      </c>
      <c r="Q68" s="42" t="s">
        <v>15</v>
      </c>
      <c r="V68" s="43">
        <v>1393</v>
      </c>
      <c r="W68" s="45" t="s">
        <v>1474</v>
      </c>
      <c r="X68" s="45" t="s">
        <v>958</v>
      </c>
      <c r="Y68" s="45" t="s">
        <v>3221</v>
      </c>
      <c r="Z68" s="45" t="s">
        <v>161</v>
      </c>
      <c r="AA68" s="45" t="s">
        <v>558</v>
      </c>
      <c r="AB68" s="44" t="s">
        <v>1341</v>
      </c>
      <c r="AD68" s="46" t="s">
        <v>885</v>
      </c>
      <c r="AE68" s="47" t="s">
        <v>507</v>
      </c>
    </row>
    <row r="69" spans="11:31" x14ac:dyDescent="0.25">
      <c r="K69" s="40" t="s">
        <v>122</v>
      </c>
      <c r="L69" s="41" t="s">
        <v>2445</v>
      </c>
      <c r="M69" s="41" t="s">
        <v>507</v>
      </c>
      <c r="N69" s="41" t="s">
        <v>3142</v>
      </c>
      <c r="O69" s="41" t="s">
        <v>2369</v>
      </c>
      <c r="P69" s="41" t="s">
        <v>3140</v>
      </c>
      <c r="Q69" s="42" t="s">
        <v>15</v>
      </c>
      <c r="V69" s="43">
        <v>1931</v>
      </c>
      <c r="W69" s="45" t="s">
        <v>1475</v>
      </c>
      <c r="X69" s="45" t="s">
        <v>959</v>
      </c>
      <c r="Y69" s="45" t="s">
        <v>1476</v>
      </c>
      <c r="Z69" s="45" t="s">
        <v>339</v>
      </c>
      <c r="AA69" s="45" t="s">
        <v>558</v>
      </c>
      <c r="AB69" s="44" t="s">
        <v>1341</v>
      </c>
      <c r="AD69" s="46" t="s">
        <v>886</v>
      </c>
      <c r="AE69" s="47" t="s">
        <v>507</v>
      </c>
    </row>
    <row r="70" spans="11:31" x14ac:dyDescent="0.25">
      <c r="K70" s="40" t="s">
        <v>120</v>
      </c>
      <c r="L70" s="41" t="s">
        <v>2446</v>
      </c>
      <c r="M70" s="41" t="s">
        <v>507</v>
      </c>
      <c r="N70" s="41" t="s">
        <v>3142</v>
      </c>
      <c r="O70" s="41" t="s">
        <v>2369</v>
      </c>
      <c r="P70" s="41" t="s">
        <v>3140</v>
      </c>
      <c r="Q70" s="42" t="s">
        <v>15</v>
      </c>
      <c r="V70" s="43">
        <v>2357</v>
      </c>
      <c r="W70" s="45" t="s">
        <v>1477</v>
      </c>
      <c r="X70" s="45" t="s">
        <v>960</v>
      </c>
      <c r="Y70" s="45" t="s">
        <v>1478</v>
      </c>
      <c r="Z70" s="45" t="s">
        <v>486</v>
      </c>
      <c r="AA70" s="45" t="s">
        <v>547</v>
      </c>
      <c r="AB70" s="44" t="s">
        <v>1341</v>
      </c>
      <c r="AD70" s="46" t="s">
        <v>887</v>
      </c>
      <c r="AE70" s="47" t="s">
        <v>507</v>
      </c>
    </row>
    <row r="71" spans="11:31" x14ac:dyDescent="0.25">
      <c r="K71" s="40" t="s">
        <v>112</v>
      </c>
      <c r="L71" s="41" t="s">
        <v>2447</v>
      </c>
      <c r="M71" s="41" t="s">
        <v>507</v>
      </c>
      <c r="N71" s="41" t="s">
        <v>3142</v>
      </c>
      <c r="O71" s="41" t="s">
        <v>2369</v>
      </c>
      <c r="P71" s="41" t="s">
        <v>3140</v>
      </c>
      <c r="Q71" s="42" t="s">
        <v>15</v>
      </c>
      <c r="V71" s="43">
        <v>1084</v>
      </c>
      <c r="W71" s="45" t="s">
        <v>1479</v>
      </c>
      <c r="X71" s="45" t="s">
        <v>961</v>
      </c>
      <c r="Y71" s="45" t="s">
        <v>1480</v>
      </c>
      <c r="Z71" s="45" t="s">
        <v>2327</v>
      </c>
      <c r="AA71" s="45" t="s">
        <v>540</v>
      </c>
      <c r="AB71" s="44" t="s">
        <v>1341</v>
      </c>
      <c r="AD71" s="46" t="s">
        <v>888</v>
      </c>
      <c r="AE71" s="47" t="s">
        <v>507</v>
      </c>
    </row>
    <row r="72" spans="11:31" x14ac:dyDescent="0.25">
      <c r="K72" s="40" t="s">
        <v>114</v>
      </c>
      <c r="L72" s="41" t="s">
        <v>2448</v>
      </c>
      <c r="M72" s="41" t="s">
        <v>507</v>
      </c>
      <c r="N72" s="41" t="s">
        <v>3142</v>
      </c>
      <c r="O72" s="41" t="s">
        <v>2369</v>
      </c>
      <c r="P72" s="41" t="s">
        <v>3140</v>
      </c>
      <c r="Q72" s="42" t="s">
        <v>15</v>
      </c>
      <c r="V72" s="43">
        <v>1282</v>
      </c>
      <c r="W72" s="45" t="s">
        <v>1481</v>
      </c>
      <c r="X72" s="45" t="s">
        <v>832</v>
      </c>
      <c r="Y72" s="45" t="s">
        <v>1482</v>
      </c>
      <c r="Z72" s="45" t="s">
        <v>151</v>
      </c>
      <c r="AA72" s="45" t="s">
        <v>500</v>
      </c>
      <c r="AB72" s="44" t="s">
        <v>500</v>
      </c>
      <c r="AD72" s="46" t="s">
        <v>889</v>
      </c>
      <c r="AE72" s="47" t="s">
        <v>507</v>
      </c>
    </row>
    <row r="73" spans="11:31" x14ac:dyDescent="0.25">
      <c r="K73" s="40" t="s">
        <v>115</v>
      </c>
      <c r="L73" s="41" t="s">
        <v>2449</v>
      </c>
      <c r="M73" s="41" t="s">
        <v>507</v>
      </c>
      <c r="N73" s="41" t="s">
        <v>3142</v>
      </c>
      <c r="O73" s="41" t="s">
        <v>2369</v>
      </c>
      <c r="P73" s="41" t="s">
        <v>3140</v>
      </c>
      <c r="Q73" s="42" t="s">
        <v>15</v>
      </c>
      <c r="V73" s="43">
        <v>1410</v>
      </c>
      <c r="W73" s="45" t="s">
        <v>1483</v>
      </c>
      <c r="X73" s="45" t="s">
        <v>962</v>
      </c>
      <c r="Y73" s="45" t="s">
        <v>1484</v>
      </c>
      <c r="Z73" s="45" t="s">
        <v>142</v>
      </c>
      <c r="AA73" s="45" t="s">
        <v>540</v>
      </c>
      <c r="AB73" s="44" t="s">
        <v>1341</v>
      </c>
      <c r="AD73" s="46" t="s">
        <v>890</v>
      </c>
      <c r="AE73" s="47" t="s">
        <v>507</v>
      </c>
    </row>
    <row r="74" spans="11:31" x14ac:dyDescent="0.25">
      <c r="K74" s="40" t="s">
        <v>113</v>
      </c>
      <c r="L74" s="41" t="s">
        <v>2450</v>
      </c>
      <c r="M74" s="41" t="s">
        <v>507</v>
      </c>
      <c r="N74" s="41" t="s">
        <v>3142</v>
      </c>
      <c r="O74" s="41" t="s">
        <v>2369</v>
      </c>
      <c r="P74" s="41" t="s">
        <v>3140</v>
      </c>
      <c r="Q74" s="42" t="s">
        <v>15</v>
      </c>
      <c r="V74" s="43">
        <v>1898</v>
      </c>
      <c r="W74" s="45" t="s">
        <v>1485</v>
      </c>
      <c r="X74" s="45" t="s">
        <v>1108</v>
      </c>
      <c r="Y74" s="45" t="s">
        <v>1486</v>
      </c>
      <c r="Z74" s="45" t="s">
        <v>311</v>
      </c>
      <c r="AA74" s="45" t="s">
        <v>538</v>
      </c>
      <c r="AB74" s="44" t="s">
        <v>1342</v>
      </c>
      <c r="AD74" s="46" t="s">
        <v>891</v>
      </c>
      <c r="AE74" s="47" t="s">
        <v>507</v>
      </c>
    </row>
    <row r="75" spans="11:31" x14ac:dyDescent="0.25">
      <c r="K75" s="40" t="s">
        <v>110</v>
      </c>
      <c r="L75" s="41" t="s">
        <v>2451</v>
      </c>
      <c r="M75" s="41" t="s">
        <v>507</v>
      </c>
      <c r="N75" s="41" t="s">
        <v>3142</v>
      </c>
      <c r="O75" s="41" t="s">
        <v>2369</v>
      </c>
      <c r="P75" s="41" t="s">
        <v>3140</v>
      </c>
      <c r="Q75" s="42" t="s">
        <v>15</v>
      </c>
      <c r="V75" s="43">
        <v>1117</v>
      </c>
      <c r="W75" s="45" t="s">
        <v>1487</v>
      </c>
      <c r="X75" s="45" t="s">
        <v>1152</v>
      </c>
      <c r="Y75" s="45" t="s">
        <v>1488</v>
      </c>
      <c r="Z75" s="45" t="s">
        <v>79</v>
      </c>
      <c r="AA75" s="45" t="s">
        <v>533</v>
      </c>
      <c r="AB75" s="44" t="s">
        <v>1343</v>
      </c>
      <c r="AD75" s="46" t="s">
        <v>892</v>
      </c>
      <c r="AE75" s="47" t="s">
        <v>507</v>
      </c>
    </row>
    <row r="76" spans="11:31" x14ac:dyDescent="0.25">
      <c r="K76" s="40" t="s">
        <v>23</v>
      </c>
      <c r="L76" s="41" t="s">
        <v>2452</v>
      </c>
      <c r="M76" s="41" t="s">
        <v>507</v>
      </c>
      <c r="N76" s="41" t="s">
        <v>3142</v>
      </c>
      <c r="O76" s="41" t="s">
        <v>2369</v>
      </c>
      <c r="P76" s="41" t="s">
        <v>3140</v>
      </c>
      <c r="Q76" s="42" t="s">
        <v>15</v>
      </c>
      <c r="V76" s="43">
        <v>1964</v>
      </c>
      <c r="W76" s="45" t="s">
        <v>1489</v>
      </c>
      <c r="X76" s="45" t="s">
        <v>1153</v>
      </c>
      <c r="Y76" s="45" t="s">
        <v>1490</v>
      </c>
      <c r="Z76" s="45" t="s">
        <v>79</v>
      </c>
      <c r="AA76" s="45" t="s">
        <v>533</v>
      </c>
      <c r="AB76" s="44" t="s">
        <v>1343</v>
      </c>
      <c r="AD76" s="46" t="s">
        <v>893</v>
      </c>
      <c r="AE76" s="47" t="s">
        <v>507</v>
      </c>
    </row>
    <row r="77" spans="11:31" x14ac:dyDescent="0.25">
      <c r="K77" s="40" t="s">
        <v>406</v>
      </c>
      <c r="L77" s="41" t="s">
        <v>1346</v>
      </c>
      <c r="M77" s="41" t="s">
        <v>507</v>
      </c>
      <c r="N77" s="41" t="s">
        <v>3141</v>
      </c>
      <c r="O77" s="41" t="s">
        <v>2369</v>
      </c>
      <c r="P77" s="41" t="s">
        <v>3140</v>
      </c>
      <c r="Q77" s="42" t="s">
        <v>15</v>
      </c>
      <c r="V77" s="43">
        <v>2273</v>
      </c>
      <c r="W77" s="45" t="s">
        <v>1491</v>
      </c>
      <c r="X77" s="45" t="s">
        <v>885</v>
      </c>
      <c r="Y77" s="45" t="s">
        <v>1492</v>
      </c>
      <c r="Z77" s="45" t="s">
        <v>117</v>
      </c>
      <c r="AA77" s="45" t="s">
        <v>507</v>
      </c>
      <c r="AB77" s="44" t="s">
        <v>15</v>
      </c>
      <c r="AD77" s="46" t="s">
        <v>894</v>
      </c>
      <c r="AE77" s="47" t="s">
        <v>507</v>
      </c>
    </row>
    <row r="78" spans="11:31" x14ac:dyDescent="0.25">
      <c r="K78" s="40" t="s">
        <v>124</v>
      </c>
      <c r="L78" s="41" t="s">
        <v>2453</v>
      </c>
      <c r="M78" s="41" t="s">
        <v>507</v>
      </c>
      <c r="N78" s="41" t="s">
        <v>3141</v>
      </c>
      <c r="O78" s="41" t="s">
        <v>2369</v>
      </c>
      <c r="P78" s="41" t="s">
        <v>3140</v>
      </c>
      <c r="Q78" s="42" t="s">
        <v>15</v>
      </c>
      <c r="V78" s="43">
        <v>2420</v>
      </c>
      <c r="W78" s="45" t="s">
        <v>1493</v>
      </c>
      <c r="X78" s="45" t="s">
        <v>886</v>
      </c>
      <c r="Y78" s="45" t="s">
        <v>1494</v>
      </c>
      <c r="Z78" s="45" t="s">
        <v>117</v>
      </c>
      <c r="AA78" s="45" t="s">
        <v>507</v>
      </c>
      <c r="AB78" s="44" t="s">
        <v>15</v>
      </c>
      <c r="AD78" s="46" t="s">
        <v>895</v>
      </c>
      <c r="AE78" s="47" t="s">
        <v>507</v>
      </c>
    </row>
    <row r="79" spans="11:31" x14ac:dyDescent="0.25">
      <c r="K79" s="40" t="s">
        <v>131</v>
      </c>
      <c r="L79" s="41" t="s">
        <v>2454</v>
      </c>
      <c r="M79" s="41" t="s">
        <v>507</v>
      </c>
      <c r="N79" s="41" t="s">
        <v>3141</v>
      </c>
      <c r="O79" s="41" t="s">
        <v>2369</v>
      </c>
      <c r="P79" s="41" t="s">
        <v>3140</v>
      </c>
      <c r="Q79" s="42" t="s">
        <v>15</v>
      </c>
      <c r="V79" s="43">
        <v>2422</v>
      </c>
      <c r="W79" s="45" t="s">
        <v>1495</v>
      </c>
      <c r="X79" s="45" t="s">
        <v>887</v>
      </c>
      <c r="Y79" s="45" t="s">
        <v>1496</v>
      </c>
      <c r="Z79" s="45" t="s">
        <v>117</v>
      </c>
      <c r="AA79" s="45" t="s">
        <v>507</v>
      </c>
      <c r="AB79" s="44" t="s">
        <v>15</v>
      </c>
      <c r="AD79" s="46" t="s">
        <v>896</v>
      </c>
      <c r="AE79" s="47" t="s">
        <v>507</v>
      </c>
    </row>
    <row r="80" spans="11:31" x14ac:dyDescent="0.25">
      <c r="K80" s="40" t="s">
        <v>116</v>
      </c>
      <c r="L80" s="41" t="s">
        <v>2455</v>
      </c>
      <c r="M80" s="41" t="s">
        <v>507</v>
      </c>
      <c r="N80" s="41" t="s">
        <v>3141</v>
      </c>
      <c r="O80" s="41" t="s">
        <v>2369</v>
      </c>
      <c r="P80" s="41" t="s">
        <v>3140</v>
      </c>
      <c r="Q80" s="42" t="s">
        <v>15</v>
      </c>
      <c r="V80" s="43">
        <v>2441</v>
      </c>
      <c r="W80" s="45" t="s">
        <v>1497</v>
      </c>
      <c r="X80" s="45" t="s">
        <v>888</v>
      </c>
      <c r="Y80" s="45" t="s">
        <v>1498</v>
      </c>
      <c r="Z80" s="45" t="s">
        <v>117</v>
      </c>
      <c r="AA80" s="45" t="s">
        <v>507</v>
      </c>
      <c r="AB80" s="44" t="s">
        <v>15</v>
      </c>
      <c r="AD80" s="46" t="s">
        <v>897</v>
      </c>
      <c r="AE80" s="47" t="s">
        <v>507</v>
      </c>
    </row>
    <row r="81" spans="11:31" x14ac:dyDescent="0.25">
      <c r="K81" s="40" t="s">
        <v>126</v>
      </c>
      <c r="L81" s="41" t="s">
        <v>2456</v>
      </c>
      <c r="M81" s="41" t="s">
        <v>507</v>
      </c>
      <c r="N81" s="41" t="s">
        <v>3141</v>
      </c>
      <c r="O81" s="41" t="s">
        <v>2369</v>
      </c>
      <c r="P81" s="41" t="s">
        <v>3140</v>
      </c>
      <c r="Q81" s="42" t="s">
        <v>15</v>
      </c>
      <c r="V81" s="43">
        <v>1381</v>
      </c>
      <c r="W81" s="45" t="s">
        <v>1499</v>
      </c>
      <c r="X81" s="45" t="s">
        <v>963</v>
      </c>
      <c r="Y81" s="45" t="s">
        <v>1500</v>
      </c>
      <c r="Z81" s="45" t="s">
        <v>341</v>
      </c>
      <c r="AA81" s="45" t="s">
        <v>546</v>
      </c>
      <c r="AB81" s="44" t="s">
        <v>1341</v>
      </c>
      <c r="AD81" s="46" t="s">
        <v>898</v>
      </c>
      <c r="AE81" s="47" t="s">
        <v>507</v>
      </c>
    </row>
    <row r="82" spans="11:31" ht="17.25" customHeight="1" x14ac:dyDescent="0.25">
      <c r="K82" s="40" t="s">
        <v>124</v>
      </c>
      <c r="L82" s="41" t="s">
        <v>2453</v>
      </c>
      <c r="M82" s="41" t="s">
        <v>507</v>
      </c>
      <c r="N82" s="41" t="s">
        <v>3141</v>
      </c>
      <c r="O82" s="41" t="s">
        <v>2369</v>
      </c>
      <c r="P82" s="41" t="s">
        <v>3140</v>
      </c>
      <c r="Q82" s="42" t="s">
        <v>15</v>
      </c>
      <c r="V82" s="43">
        <v>1278</v>
      </c>
      <c r="W82" s="45" t="s">
        <v>1501</v>
      </c>
      <c r="X82" s="45" t="s">
        <v>833</v>
      </c>
      <c r="Y82" s="45" t="s">
        <v>1502</v>
      </c>
      <c r="Z82" s="45" t="s">
        <v>193</v>
      </c>
      <c r="AA82" s="45" t="s">
        <v>500</v>
      </c>
      <c r="AB82" s="44" t="s">
        <v>500</v>
      </c>
      <c r="AD82" s="46" t="s">
        <v>899</v>
      </c>
      <c r="AE82" s="47" t="s">
        <v>507</v>
      </c>
    </row>
    <row r="83" spans="11:31" ht="17.25" customHeight="1" x14ac:dyDescent="0.25">
      <c r="K83" s="40" t="s">
        <v>131</v>
      </c>
      <c r="L83" s="41" t="s">
        <v>2454</v>
      </c>
      <c r="M83" s="41" t="s">
        <v>507</v>
      </c>
      <c r="N83" s="41" t="s">
        <v>3141</v>
      </c>
      <c r="O83" s="41" t="s">
        <v>2369</v>
      </c>
      <c r="P83" s="41" t="s">
        <v>3140</v>
      </c>
      <c r="Q83" s="42" t="s">
        <v>15</v>
      </c>
      <c r="V83" s="43">
        <v>1811</v>
      </c>
      <c r="W83" s="45" t="s">
        <v>1503</v>
      </c>
      <c r="X83" s="45" t="s">
        <v>834</v>
      </c>
      <c r="Y83" s="45" t="s">
        <v>1504</v>
      </c>
      <c r="Z83" s="45" t="s">
        <v>133</v>
      </c>
      <c r="AA83" s="45" t="s">
        <v>500</v>
      </c>
      <c r="AB83" s="44" t="s">
        <v>500</v>
      </c>
      <c r="AD83" s="46" t="s">
        <v>900</v>
      </c>
      <c r="AE83" s="47" t="s">
        <v>507</v>
      </c>
    </row>
    <row r="84" spans="11:31" ht="17.25" customHeight="1" x14ac:dyDescent="0.25">
      <c r="K84" s="40" t="s">
        <v>116</v>
      </c>
      <c r="L84" s="41" t="s">
        <v>2455</v>
      </c>
      <c r="M84" s="41" t="s">
        <v>507</v>
      </c>
      <c r="N84" s="41" t="s">
        <v>3141</v>
      </c>
      <c r="O84" s="41" t="s">
        <v>2369</v>
      </c>
      <c r="P84" s="41" t="s">
        <v>3140</v>
      </c>
      <c r="Q84" s="42" t="s">
        <v>15</v>
      </c>
      <c r="V84" s="43">
        <v>1197</v>
      </c>
      <c r="W84" s="45" t="s">
        <v>1505</v>
      </c>
      <c r="X84" s="45" t="s">
        <v>1506</v>
      </c>
      <c r="Y84" s="45" t="s">
        <v>1507</v>
      </c>
      <c r="Z84" s="45" t="s">
        <v>54</v>
      </c>
      <c r="AA84" s="45" t="s">
        <v>553</v>
      </c>
      <c r="AB84" s="44" t="s">
        <v>1341</v>
      </c>
      <c r="AD84" s="46" t="s">
        <v>901</v>
      </c>
      <c r="AE84" s="47" t="s">
        <v>507</v>
      </c>
    </row>
    <row r="85" spans="11:31" ht="17.25" customHeight="1" x14ac:dyDescent="0.25">
      <c r="K85" s="40" t="s">
        <v>126</v>
      </c>
      <c r="L85" s="41" t="s">
        <v>2456</v>
      </c>
      <c r="M85" s="41" t="s">
        <v>507</v>
      </c>
      <c r="N85" s="41" t="s">
        <v>3141</v>
      </c>
      <c r="O85" s="41" t="s">
        <v>2369</v>
      </c>
      <c r="P85" s="41" t="s">
        <v>3140</v>
      </c>
      <c r="Q85" s="42" t="s">
        <v>15</v>
      </c>
      <c r="V85" s="43">
        <v>1432</v>
      </c>
      <c r="W85" s="45" t="s">
        <v>1508</v>
      </c>
      <c r="X85" s="45" t="s">
        <v>1109</v>
      </c>
      <c r="Y85" s="45" t="s">
        <v>1509</v>
      </c>
      <c r="Z85" s="45" t="s">
        <v>573</v>
      </c>
      <c r="AA85" s="45" t="s">
        <v>537</v>
      </c>
      <c r="AB85" s="44" t="s">
        <v>1342</v>
      </c>
      <c r="AD85" s="46" t="s">
        <v>902</v>
      </c>
      <c r="AE85" s="47" t="s">
        <v>507</v>
      </c>
    </row>
    <row r="86" spans="11:31" ht="17.25" customHeight="1" x14ac:dyDescent="0.25">
      <c r="K86" s="40" t="s">
        <v>123</v>
      </c>
      <c r="L86" s="41" t="s">
        <v>2457</v>
      </c>
      <c r="M86" s="41" t="s">
        <v>507</v>
      </c>
      <c r="N86" s="41" t="s">
        <v>3139</v>
      </c>
      <c r="O86" s="41" t="s">
        <v>2369</v>
      </c>
      <c r="P86" s="41" t="s">
        <v>3140</v>
      </c>
      <c r="Q86" s="42" t="s">
        <v>15</v>
      </c>
      <c r="V86" s="43">
        <v>1371</v>
      </c>
      <c r="W86" s="45" t="s">
        <v>1510</v>
      </c>
      <c r="X86" s="45" t="s">
        <v>835</v>
      </c>
      <c r="Y86" s="45" t="s">
        <v>1511</v>
      </c>
      <c r="Z86" s="45" t="s">
        <v>47</v>
      </c>
      <c r="AA86" s="45" t="s">
        <v>500</v>
      </c>
      <c r="AB86" s="44" t="s">
        <v>500</v>
      </c>
      <c r="AD86" s="46" t="s">
        <v>903</v>
      </c>
      <c r="AE86" s="47" t="s">
        <v>507</v>
      </c>
    </row>
    <row r="87" spans="11:31" ht="17.25" customHeight="1" x14ac:dyDescent="0.25">
      <c r="K87" s="40" t="s">
        <v>129</v>
      </c>
      <c r="L87" s="41" t="s">
        <v>2458</v>
      </c>
      <c r="M87" s="41" t="s">
        <v>507</v>
      </c>
      <c r="N87" s="41" t="s">
        <v>3139</v>
      </c>
      <c r="O87" s="41" t="s">
        <v>2369</v>
      </c>
      <c r="P87" s="41" t="s">
        <v>3140</v>
      </c>
      <c r="Q87" s="42" t="s">
        <v>15</v>
      </c>
      <c r="V87" s="43">
        <v>2292</v>
      </c>
      <c r="W87" s="45" t="s">
        <v>1512</v>
      </c>
      <c r="X87" s="45" t="s">
        <v>836</v>
      </c>
      <c r="Y87" s="45" t="s">
        <v>1513</v>
      </c>
      <c r="Z87" s="45" t="s">
        <v>47</v>
      </c>
      <c r="AA87" s="45" t="s">
        <v>500</v>
      </c>
      <c r="AB87" s="44" t="s">
        <v>500</v>
      </c>
      <c r="AD87" s="46" t="s">
        <v>904</v>
      </c>
      <c r="AE87" s="47" t="s">
        <v>507</v>
      </c>
    </row>
    <row r="88" spans="11:31" ht="17.25" customHeight="1" x14ac:dyDescent="0.25">
      <c r="K88" s="40" t="s">
        <v>130</v>
      </c>
      <c r="L88" s="41" t="s">
        <v>2459</v>
      </c>
      <c r="M88" s="41" t="s">
        <v>507</v>
      </c>
      <c r="N88" s="41" t="s">
        <v>3139</v>
      </c>
      <c r="O88" s="41" t="s">
        <v>2369</v>
      </c>
      <c r="P88" s="41" t="s">
        <v>3140</v>
      </c>
      <c r="Q88" s="42" t="s">
        <v>15</v>
      </c>
      <c r="V88" s="43">
        <v>2332</v>
      </c>
      <c r="W88" s="45" t="s">
        <v>1514</v>
      </c>
      <c r="X88" s="45" t="s">
        <v>837</v>
      </c>
      <c r="Y88" s="45" t="s">
        <v>3124</v>
      </c>
      <c r="Z88" s="45" t="s">
        <v>47</v>
      </c>
      <c r="AA88" s="45" t="s">
        <v>500</v>
      </c>
      <c r="AB88" s="44" t="s">
        <v>500</v>
      </c>
      <c r="AD88" s="46" t="s">
        <v>905</v>
      </c>
      <c r="AE88" s="47" t="s">
        <v>507</v>
      </c>
    </row>
    <row r="89" spans="11:31" ht="17.25" customHeight="1" x14ac:dyDescent="0.25">
      <c r="K89" s="40" t="s">
        <v>128</v>
      </c>
      <c r="L89" s="41" t="s">
        <v>2460</v>
      </c>
      <c r="M89" s="41" t="s">
        <v>507</v>
      </c>
      <c r="N89" s="41" t="s">
        <v>3139</v>
      </c>
      <c r="O89" s="41" t="s">
        <v>2369</v>
      </c>
      <c r="P89" s="41" t="s">
        <v>3140</v>
      </c>
      <c r="Q89" s="42" t="s">
        <v>15</v>
      </c>
      <c r="V89" s="43">
        <v>1624</v>
      </c>
      <c r="W89" s="45" t="s">
        <v>1515</v>
      </c>
      <c r="X89" s="45" t="s">
        <v>838</v>
      </c>
      <c r="Y89" s="45" t="s">
        <v>1516</v>
      </c>
      <c r="Z89" s="45" t="s">
        <v>52</v>
      </c>
      <c r="AA89" s="45" t="s">
        <v>500</v>
      </c>
      <c r="AB89" s="44" t="s">
        <v>500</v>
      </c>
      <c r="AD89" s="46" t="s">
        <v>906</v>
      </c>
      <c r="AE89" s="47" t="s">
        <v>507</v>
      </c>
    </row>
    <row r="90" spans="11:31" ht="17.25" customHeight="1" x14ac:dyDescent="0.25">
      <c r="K90" s="40" t="s">
        <v>123</v>
      </c>
      <c r="L90" s="41" t="s">
        <v>2457</v>
      </c>
      <c r="M90" s="41" t="s">
        <v>507</v>
      </c>
      <c r="N90" s="41" t="s">
        <v>3139</v>
      </c>
      <c r="O90" s="41" t="s">
        <v>2369</v>
      </c>
      <c r="P90" s="41" t="s">
        <v>3140</v>
      </c>
      <c r="Q90" s="42" t="s">
        <v>15</v>
      </c>
      <c r="V90" s="43">
        <v>1217</v>
      </c>
      <c r="W90" s="45" t="s">
        <v>1517</v>
      </c>
      <c r="X90" s="45" t="s">
        <v>1154</v>
      </c>
      <c r="Y90" s="45" t="s">
        <v>1518</v>
      </c>
      <c r="Z90" s="45" t="s">
        <v>2319</v>
      </c>
      <c r="AA90" s="45" t="s">
        <v>520</v>
      </c>
      <c r="AB90" s="44" t="s">
        <v>1343</v>
      </c>
      <c r="AD90" s="46" t="s">
        <v>907</v>
      </c>
      <c r="AE90" s="47" t="s">
        <v>507</v>
      </c>
    </row>
    <row r="91" spans="11:31" ht="17.25" customHeight="1" x14ac:dyDescent="0.25">
      <c r="K91" s="40" t="s">
        <v>129</v>
      </c>
      <c r="L91" s="41" t="s">
        <v>2458</v>
      </c>
      <c r="M91" s="41" t="s">
        <v>507</v>
      </c>
      <c r="N91" s="41" t="s">
        <v>3139</v>
      </c>
      <c r="O91" s="41" t="s">
        <v>2369</v>
      </c>
      <c r="P91" s="41" t="s">
        <v>3140</v>
      </c>
      <c r="Q91" s="42" t="s">
        <v>15</v>
      </c>
      <c r="V91" s="43">
        <v>1944</v>
      </c>
      <c r="W91" s="45" t="s">
        <v>1519</v>
      </c>
      <c r="X91" s="45" t="s">
        <v>1155</v>
      </c>
      <c r="Y91" s="45" t="s">
        <v>1520</v>
      </c>
      <c r="Z91" s="45" t="s">
        <v>2319</v>
      </c>
      <c r="AA91" s="45" t="s">
        <v>520</v>
      </c>
      <c r="AB91" s="44" t="s">
        <v>1343</v>
      </c>
      <c r="AD91" s="46" t="s">
        <v>908</v>
      </c>
      <c r="AE91" s="47" t="s">
        <v>507</v>
      </c>
    </row>
    <row r="92" spans="11:31" ht="17.25" customHeight="1" x14ac:dyDescent="0.25">
      <c r="K92" s="40" t="s">
        <v>130</v>
      </c>
      <c r="L92" s="41" t="s">
        <v>2459</v>
      </c>
      <c r="M92" s="41" t="s">
        <v>507</v>
      </c>
      <c r="N92" s="41" t="s">
        <v>3139</v>
      </c>
      <c r="O92" s="41" t="s">
        <v>2369</v>
      </c>
      <c r="P92" s="41" t="s">
        <v>3140</v>
      </c>
      <c r="Q92" s="42" t="s">
        <v>15</v>
      </c>
      <c r="V92" s="43">
        <v>1361</v>
      </c>
      <c r="W92" s="45" t="s">
        <v>1521</v>
      </c>
      <c r="X92" s="45" t="s">
        <v>964</v>
      </c>
      <c r="Y92" s="45" t="s">
        <v>1522</v>
      </c>
      <c r="Z92" s="45" t="s">
        <v>444</v>
      </c>
      <c r="AA92" s="45" t="s">
        <v>557</v>
      </c>
      <c r="AB92" s="44" t="s">
        <v>1341</v>
      </c>
      <c r="AD92" s="46" t="s">
        <v>909</v>
      </c>
      <c r="AE92" s="47" t="s">
        <v>507</v>
      </c>
    </row>
    <row r="93" spans="11:31" ht="17.25" customHeight="1" x14ac:dyDescent="0.25">
      <c r="K93" s="40" t="s">
        <v>1301</v>
      </c>
      <c r="L93" s="41" t="s">
        <v>2461</v>
      </c>
      <c r="M93" s="41" t="s">
        <v>507</v>
      </c>
      <c r="N93" s="41" t="s">
        <v>3139</v>
      </c>
      <c r="O93" s="41" t="s">
        <v>2369</v>
      </c>
      <c r="P93" s="41" t="s">
        <v>3140</v>
      </c>
      <c r="Q93" s="42" t="s">
        <v>15</v>
      </c>
      <c r="V93" s="43">
        <v>2399</v>
      </c>
      <c r="W93" s="45" t="s">
        <v>1523</v>
      </c>
      <c r="X93" s="45" t="s">
        <v>965</v>
      </c>
      <c r="Y93" s="45" t="s">
        <v>1524</v>
      </c>
      <c r="Z93" s="45" t="s">
        <v>2315</v>
      </c>
      <c r="AA93" s="45" t="s">
        <v>713</v>
      </c>
      <c r="AB93" s="44" t="s">
        <v>1341</v>
      </c>
      <c r="AD93" s="46" t="s">
        <v>910</v>
      </c>
      <c r="AE93" s="47" t="s">
        <v>507</v>
      </c>
    </row>
    <row r="94" spans="11:31" ht="17.25" customHeight="1" x14ac:dyDescent="0.25">
      <c r="K94" s="40" t="s">
        <v>761</v>
      </c>
      <c r="L94" s="41" t="s">
        <v>2462</v>
      </c>
      <c r="M94" s="41" t="s">
        <v>507</v>
      </c>
      <c r="N94" s="41" t="s">
        <v>3139</v>
      </c>
      <c r="O94" s="41" t="s">
        <v>2369</v>
      </c>
      <c r="P94" s="41" t="s">
        <v>3140</v>
      </c>
      <c r="Q94" s="42" t="s">
        <v>15</v>
      </c>
      <c r="V94" s="43">
        <v>1345</v>
      </c>
      <c r="W94" s="45" t="s">
        <v>1525</v>
      </c>
      <c r="X94" s="45" t="s">
        <v>1156</v>
      </c>
      <c r="Y94" s="45" t="s">
        <v>1526</v>
      </c>
      <c r="Z94" s="45" t="s">
        <v>24</v>
      </c>
      <c r="AA94" s="45" t="s">
        <v>525</v>
      </c>
      <c r="AB94" s="44" t="s">
        <v>1343</v>
      </c>
      <c r="AD94" s="46" t="s">
        <v>911</v>
      </c>
      <c r="AE94" s="47" t="s">
        <v>507</v>
      </c>
    </row>
    <row r="95" spans="11:31" ht="17.25" customHeight="1" x14ac:dyDescent="0.25">
      <c r="K95" s="40" t="s">
        <v>39</v>
      </c>
      <c r="L95" s="41" t="s">
        <v>2463</v>
      </c>
      <c r="M95" s="41" t="s">
        <v>552</v>
      </c>
      <c r="N95" s="41" t="s">
        <v>3142</v>
      </c>
      <c r="O95" s="41" t="s">
        <v>2369</v>
      </c>
      <c r="P95" s="41" t="s">
        <v>3140</v>
      </c>
      <c r="Q95" s="42" t="s">
        <v>1341</v>
      </c>
      <c r="V95" s="43">
        <v>2353</v>
      </c>
      <c r="W95" s="45" t="s">
        <v>1527</v>
      </c>
      <c r="X95" s="45" t="s">
        <v>889</v>
      </c>
      <c r="Y95" s="45" t="s">
        <v>1528</v>
      </c>
      <c r="Z95" s="45" t="s">
        <v>109</v>
      </c>
      <c r="AA95" s="45" t="s">
        <v>507</v>
      </c>
      <c r="AB95" s="44" t="s">
        <v>15</v>
      </c>
      <c r="AD95" s="46" t="s">
        <v>912</v>
      </c>
      <c r="AE95" s="47" t="s">
        <v>507</v>
      </c>
    </row>
    <row r="96" spans="11:31" ht="17.25" customHeight="1" x14ac:dyDescent="0.25">
      <c r="K96" s="40" t="s">
        <v>425</v>
      </c>
      <c r="L96" s="41" t="s">
        <v>2464</v>
      </c>
      <c r="M96" s="41" t="s">
        <v>552</v>
      </c>
      <c r="N96" s="41" t="s">
        <v>3139</v>
      </c>
      <c r="O96" s="41" t="s">
        <v>2369</v>
      </c>
      <c r="P96" s="41" t="s">
        <v>3140</v>
      </c>
      <c r="Q96" s="42" t="s">
        <v>1341</v>
      </c>
      <c r="V96" s="43">
        <v>2443</v>
      </c>
      <c r="W96" s="45" t="s">
        <v>1529</v>
      </c>
      <c r="X96" s="45" t="s">
        <v>890</v>
      </c>
      <c r="Y96" s="45" t="s">
        <v>3302</v>
      </c>
      <c r="Z96" s="45" t="s">
        <v>109</v>
      </c>
      <c r="AA96" s="45" t="s">
        <v>507</v>
      </c>
      <c r="AB96" s="44" t="s">
        <v>15</v>
      </c>
      <c r="AD96" s="46" t="s">
        <v>913</v>
      </c>
      <c r="AE96" s="47" t="s">
        <v>507</v>
      </c>
    </row>
    <row r="97" spans="11:31" ht="17.25" customHeight="1" x14ac:dyDescent="0.25">
      <c r="K97" s="40" t="s">
        <v>184</v>
      </c>
      <c r="L97" s="41" t="s">
        <v>2465</v>
      </c>
      <c r="M97" s="41" t="s">
        <v>552</v>
      </c>
      <c r="N97" s="41" t="s">
        <v>3139</v>
      </c>
      <c r="O97" s="41" t="s">
        <v>2369</v>
      </c>
      <c r="P97" s="41" t="s">
        <v>3140</v>
      </c>
      <c r="Q97" s="42" t="s">
        <v>1341</v>
      </c>
      <c r="V97" s="43">
        <v>1959</v>
      </c>
      <c r="W97" s="45" t="s">
        <v>1530</v>
      </c>
      <c r="X97" s="45" t="s">
        <v>1531</v>
      </c>
      <c r="Y97" s="45" t="s">
        <v>1532</v>
      </c>
      <c r="Z97" s="45" t="s">
        <v>376</v>
      </c>
      <c r="AA97" s="45" t="s">
        <v>503</v>
      </c>
      <c r="AB97" s="44" t="s">
        <v>1341</v>
      </c>
      <c r="AD97" s="46" t="s">
        <v>914</v>
      </c>
      <c r="AE97" s="47" t="s">
        <v>507</v>
      </c>
    </row>
    <row r="98" spans="11:31" ht="17.25" customHeight="1" x14ac:dyDescent="0.25">
      <c r="K98" s="40" t="s">
        <v>324</v>
      </c>
      <c r="L98" s="41" t="s">
        <v>2466</v>
      </c>
      <c r="M98" s="41" t="s">
        <v>552</v>
      </c>
      <c r="N98" s="41" t="s">
        <v>3139</v>
      </c>
      <c r="O98" s="41" t="s">
        <v>2369</v>
      </c>
      <c r="P98" s="41" t="s">
        <v>3140</v>
      </c>
      <c r="Q98" s="42" t="s">
        <v>1341</v>
      </c>
      <c r="V98" s="43">
        <v>1506</v>
      </c>
      <c r="W98" s="45" t="s">
        <v>1533</v>
      </c>
      <c r="X98" s="45" t="s">
        <v>966</v>
      </c>
      <c r="Y98" s="45" t="s">
        <v>1534</v>
      </c>
      <c r="Z98" s="45" t="s">
        <v>409</v>
      </c>
      <c r="AA98" s="45" t="s">
        <v>551</v>
      </c>
      <c r="AB98" s="44" t="s">
        <v>1341</v>
      </c>
      <c r="AD98" s="46" t="s">
        <v>915</v>
      </c>
      <c r="AE98" s="47" t="s">
        <v>507</v>
      </c>
    </row>
    <row r="99" spans="11:31" ht="17.25" customHeight="1" x14ac:dyDescent="0.25">
      <c r="K99" s="40" t="s">
        <v>335</v>
      </c>
      <c r="L99" s="41" t="s">
        <v>2467</v>
      </c>
      <c r="M99" s="41" t="s">
        <v>552</v>
      </c>
      <c r="N99" s="41" t="s">
        <v>3139</v>
      </c>
      <c r="O99" s="41" t="s">
        <v>2369</v>
      </c>
      <c r="P99" s="41" t="s">
        <v>3140</v>
      </c>
      <c r="Q99" s="42" t="s">
        <v>1341</v>
      </c>
      <c r="V99" s="43">
        <v>2352</v>
      </c>
      <c r="W99" s="45" t="s">
        <v>1535</v>
      </c>
      <c r="X99" s="45" t="s">
        <v>892</v>
      </c>
      <c r="Y99" s="45" t="s">
        <v>1536</v>
      </c>
      <c r="Z99" s="45" t="s">
        <v>23</v>
      </c>
      <c r="AA99" s="45" t="s">
        <v>507</v>
      </c>
      <c r="AB99" s="44" t="s">
        <v>15</v>
      </c>
      <c r="AD99" s="46" t="s">
        <v>916</v>
      </c>
      <c r="AE99" s="47" t="s">
        <v>507</v>
      </c>
    </row>
    <row r="100" spans="11:31" ht="17.25" customHeight="1" x14ac:dyDescent="0.25">
      <c r="K100" s="40" t="s">
        <v>136</v>
      </c>
      <c r="L100" s="41" t="s">
        <v>2468</v>
      </c>
      <c r="M100" s="41" t="s">
        <v>552</v>
      </c>
      <c r="N100" s="41" t="s">
        <v>3139</v>
      </c>
      <c r="O100" s="41" t="s">
        <v>2369</v>
      </c>
      <c r="P100" s="41" t="s">
        <v>3140</v>
      </c>
      <c r="Q100" s="42" t="s">
        <v>1341</v>
      </c>
      <c r="V100" s="43">
        <v>2407</v>
      </c>
      <c r="W100" s="45" t="s">
        <v>1537</v>
      </c>
      <c r="X100" s="45" t="s">
        <v>1158</v>
      </c>
      <c r="Y100" s="45" t="s">
        <v>1538</v>
      </c>
      <c r="Z100" s="45" t="s">
        <v>277</v>
      </c>
      <c r="AA100" s="45" t="s">
        <v>530</v>
      </c>
      <c r="AB100" s="44" t="s">
        <v>1343</v>
      </c>
      <c r="AD100" s="46" t="s">
        <v>917</v>
      </c>
      <c r="AE100" s="47" t="s">
        <v>507</v>
      </c>
    </row>
    <row r="101" spans="11:31" ht="17.25" customHeight="1" x14ac:dyDescent="0.25">
      <c r="K101" s="40" t="s">
        <v>182</v>
      </c>
      <c r="L101" s="41" t="s">
        <v>2469</v>
      </c>
      <c r="M101" s="41" t="s">
        <v>552</v>
      </c>
      <c r="N101" s="41" t="s">
        <v>3139</v>
      </c>
      <c r="O101" s="41" t="s">
        <v>2369</v>
      </c>
      <c r="P101" s="41" t="s">
        <v>3140</v>
      </c>
      <c r="Q101" s="42" t="s">
        <v>1341</v>
      </c>
      <c r="V101" s="43">
        <v>1199</v>
      </c>
      <c r="W101" s="45" t="s">
        <v>1539</v>
      </c>
      <c r="X101" s="45" t="s">
        <v>1540</v>
      </c>
      <c r="Y101" s="45" t="s">
        <v>1541</v>
      </c>
      <c r="Z101" s="45" t="s">
        <v>31</v>
      </c>
      <c r="AA101" s="45" t="s">
        <v>563</v>
      </c>
      <c r="AB101" s="44" t="s">
        <v>1341</v>
      </c>
      <c r="AD101" s="46" t="s">
        <v>918</v>
      </c>
      <c r="AE101" s="47" t="s">
        <v>507</v>
      </c>
    </row>
    <row r="102" spans="11:31" ht="17.25" customHeight="1" x14ac:dyDescent="0.25">
      <c r="K102" s="40" t="s">
        <v>185</v>
      </c>
      <c r="L102" s="41" t="s">
        <v>2470</v>
      </c>
      <c r="M102" s="41" t="s">
        <v>552</v>
      </c>
      <c r="N102" s="41" t="s">
        <v>3139</v>
      </c>
      <c r="O102" s="41" t="s">
        <v>2369</v>
      </c>
      <c r="P102" s="41" t="s">
        <v>3140</v>
      </c>
      <c r="Q102" s="42" t="s">
        <v>1341</v>
      </c>
      <c r="V102" s="43">
        <v>1462</v>
      </c>
      <c r="W102" s="45" t="s">
        <v>1542</v>
      </c>
      <c r="X102" s="45" t="s">
        <v>1543</v>
      </c>
      <c r="Y102" s="45" t="s">
        <v>1544</v>
      </c>
      <c r="Z102" s="45" t="s">
        <v>31</v>
      </c>
      <c r="AA102" s="45" t="s">
        <v>563</v>
      </c>
      <c r="AB102" s="44" t="s">
        <v>1341</v>
      </c>
      <c r="AD102" s="46" t="s">
        <v>919</v>
      </c>
      <c r="AE102" s="47" t="s">
        <v>507</v>
      </c>
    </row>
    <row r="103" spans="11:31" ht="17.25" customHeight="1" x14ac:dyDescent="0.25">
      <c r="K103" s="40" t="s">
        <v>420</v>
      </c>
      <c r="L103" s="41" t="s">
        <v>2471</v>
      </c>
      <c r="M103" s="41" t="s">
        <v>552</v>
      </c>
      <c r="N103" s="41" t="s">
        <v>3139</v>
      </c>
      <c r="O103" s="41" t="s">
        <v>2369</v>
      </c>
      <c r="P103" s="41" t="s">
        <v>3140</v>
      </c>
      <c r="Q103" s="42" t="s">
        <v>1341</v>
      </c>
      <c r="V103" s="43">
        <v>1947</v>
      </c>
      <c r="W103" s="45" t="s">
        <v>1545</v>
      </c>
      <c r="X103" s="45" t="s">
        <v>967</v>
      </c>
      <c r="Y103" s="45" t="s">
        <v>1546</v>
      </c>
      <c r="Z103" s="45" t="s">
        <v>357</v>
      </c>
      <c r="AA103" s="45" t="s">
        <v>563</v>
      </c>
      <c r="AB103" s="44" t="s">
        <v>1341</v>
      </c>
      <c r="AD103" s="46" t="s">
        <v>920</v>
      </c>
      <c r="AE103" s="47" t="s">
        <v>507</v>
      </c>
    </row>
    <row r="104" spans="11:31" ht="17.25" customHeight="1" x14ac:dyDescent="0.25">
      <c r="K104" s="40" t="s">
        <v>3356</v>
      </c>
      <c r="L104" s="41" t="s">
        <v>3368</v>
      </c>
      <c r="M104" s="41" t="s">
        <v>552</v>
      </c>
      <c r="N104" s="41" t="s">
        <v>3139</v>
      </c>
      <c r="O104" s="41" t="s">
        <v>2369</v>
      </c>
      <c r="P104" s="41" t="s">
        <v>3140</v>
      </c>
      <c r="Q104" s="42" t="s">
        <v>1341</v>
      </c>
      <c r="V104" s="43">
        <v>1518</v>
      </c>
      <c r="W104" s="45" t="s">
        <v>1547</v>
      </c>
      <c r="X104" s="45" t="s">
        <v>1548</v>
      </c>
      <c r="Y104" s="45" t="s">
        <v>3219</v>
      </c>
      <c r="Z104" s="45" t="s">
        <v>388</v>
      </c>
      <c r="AA104" s="45" t="s">
        <v>563</v>
      </c>
      <c r="AB104" s="44" t="s">
        <v>1341</v>
      </c>
      <c r="AD104" s="46" t="s">
        <v>921</v>
      </c>
      <c r="AE104" s="47" t="s">
        <v>507</v>
      </c>
    </row>
    <row r="105" spans="11:31" ht="17.25" customHeight="1" x14ac:dyDescent="0.25">
      <c r="K105" s="40" t="s">
        <v>183</v>
      </c>
      <c r="L105" s="41" t="s">
        <v>2473</v>
      </c>
      <c r="M105" s="41" t="s">
        <v>552</v>
      </c>
      <c r="N105" s="41" t="s">
        <v>3139</v>
      </c>
      <c r="O105" s="41" t="s">
        <v>2369</v>
      </c>
      <c r="P105" s="41" t="s">
        <v>3140</v>
      </c>
      <c r="Q105" s="42" t="s">
        <v>1341</v>
      </c>
      <c r="V105" s="43">
        <v>2415</v>
      </c>
      <c r="W105" s="45" t="s">
        <v>1549</v>
      </c>
      <c r="X105" s="45" t="s">
        <v>1159</v>
      </c>
      <c r="Y105" s="45" t="s">
        <v>1550</v>
      </c>
      <c r="Z105" s="45" t="s">
        <v>2328</v>
      </c>
      <c r="AA105" s="45" t="s">
        <v>527</v>
      </c>
      <c r="AB105" s="44" t="s">
        <v>1343</v>
      </c>
      <c r="AD105" s="46" t="s">
        <v>922</v>
      </c>
      <c r="AE105" s="47" t="s">
        <v>507</v>
      </c>
    </row>
    <row r="106" spans="11:31" ht="17.25" customHeight="1" x14ac:dyDescent="0.25">
      <c r="K106" s="40" t="s">
        <v>785</v>
      </c>
      <c r="L106" s="41" t="s">
        <v>2474</v>
      </c>
      <c r="M106" s="41" t="s">
        <v>541</v>
      </c>
      <c r="N106" s="41" t="s">
        <v>3142</v>
      </c>
      <c r="O106" s="41" t="s">
        <v>2369</v>
      </c>
      <c r="P106" s="41" t="s">
        <v>3140</v>
      </c>
      <c r="Q106" s="42" t="s">
        <v>1341</v>
      </c>
      <c r="V106" s="43">
        <v>1299</v>
      </c>
      <c r="W106" s="45" t="s">
        <v>1551</v>
      </c>
      <c r="X106" s="45" t="s">
        <v>968</v>
      </c>
      <c r="Y106" s="45" t="s">
        <v>3212</v>
      </c>
      <c r="Z106" s="45" t="s">
        <v>391</v>
      </c>
      <c r="AA106" s="45" t="s">
        <v>557</v>
      </c>
      <c r="AB106" s="44" t="s">
        <v>1341</v>
      </c>
      <c r="AD106" s="46" t="s">
        <v>923</v>
      </c>
      <c r="AE106" s="47" t="s">
        <v>507</v>
      </c>
    </row>
    <row r="107" spans="11:31" ht="17.25" customHeight="1" x14ac:dyDescent="0.25">
      <c r="K107" s="40" t="s">
        <v>782</v>
      </c>
      <c r="L107" s="41" t="s">
        <v>2475</v>
      </c>
      <c r="M107" s="41" t="s">
        <v>541</v>
      </c>
      <c r="N107" s="41" t="s">
        <v>3142</v>
      </c>
      <c r="O107" s="41" t="s">
        <v>2369</v>
      </c>
      <c r="P107" s="41" t="s">
        <v>3140</v>
      </c>
      <c r="Q107" s="42" t="s">
        <v>1341</v>
      </c>
      <c r="V107" s="43">
        <v>1460</v>
      </c>
      <c r="W107" s="45" t="s">
        <v>1552</v>
      </c>
      <c r="X107" s="45" t="s">
        <v>969</v>
      </c>
      <c r="Y107" s="45" t="s">
        <v>1553</v>
      </c>
      <c r="Z107" s="45" t="s">
        <v>391</v>
      </c>
      <c r="AA107" s="45" t="s">
        <v>557</v>
      </c>
      <c r="AB107" s="44" t="s">
        <v>1341</v>
      </c>
      <c r="AD107" s="46" t="s">
        <v>924</v>
      </c>
      <c r="AE107" s="47" t="s">
        <v>507</v>
      </c>
    </row>
    <row r="108" spans="11:31" ht="17.25" customHeight="1" x14ac:dyDescent="0.25">
      <c r="K108" s="40" t="s">
        <v>777</v>
      </c>
      <c r="L108" s="41" t="s">
        <v>2476</v>
      </c>
      <c r="M108" s="41" t="s">
        <v>541</v>
      </c>
      <c r="N108" s="41" t="s">
        <v>3141</v>
      </c>
      <c r="O108" s="41" t="s">
        <v>2369</v>
      </c>
      <c r="P108" s="41" t="s">
        <v>3140</v>
      </c>
      <c r="Q108" s="42" t="s">
        <v>1341</v>
      </c>
      <c r="V108" s="43">
        <v>2390</v>
      </c>
      <c r="W108" s="45" t="s">
        <v>1554</v>
      </c>
      <c r="X108" s="45" t="s">
        <v>820</v>
      </c>
      <c r="Y108" s="45" t="s">
        <v>1555</v>
      </c>
      <c r="Z108" s="45" t="s">
        <v>55</v>
      </c>
      <c r="AA108" s="45" t="s">
        <v>506</v>
      </c>
      <c r="AB108" s="44" t="s">
        <v>506</v>
      </c>
      <c r="AD108" s="46" t="s">
        <v>925</v>
      </c>
      <c r="AE108" s="47" t="s">
        <v>507</v>
      </c>
    </row>
    <row r="109" spans="11:31" ht="17.25" customHeight="1" x14ac:dyDescent="0.25">
      <c r="K109" s="40" t="s">
        <v>788</v>
      </c>
      <c r="L109" s="41" t="s">
        <v>2477</v>
      </c>
      <c r="M109" s="41" t="s">
        <v>541</v>
      </c>
      <c r="N109" s="41" t="s">
        <v>3141</v>
      </c>
      <c r="O109" s="41" t="s">
        <v>2369</v>
      </c>
      <c r="P109" s="41" t="s">
        <v>3140</v>
      </c>
      <c r="Q109" s="42" t="s">
        <v>1341</v>
      </c>
      <c r="V109" s="43">
        <v>1550</v>
      </c>
      <c r="W109" s="45" t="s">
        <v>1556</v>
      </c>
      <c r="X109" s="45" t="s">
        <v>1160</v>
      </c>
      <c r="Y109" s="45" t="s">
        <v>1557</v>
      </c>
      <c r="Z109" s="45" t="s">
        <v>273</v>
      </c>
      <c r="AA109" s="45" t="s">
        <v>531</v>
      </c>
      <c r="AB109" s="44" t="s">
        <v>1343</v>
      </c>
      <c r="AD109" s="46" t="s">
        <v>926</v>
      </c>
      <c r="AE109" s="47" t="s">
        <v>507</v>
      </c>
    </row>
    <row r="110" spans="11:31" ht="17.25" customHeight="1" x14ac:dyDescent="0.25">
      <c r="K110" s="40" t="s">
        <v>787</v>
      </c>
      <c r="L110" s="41" t="s">
        <v>2478</v>
      </c>
      <c r="M110" s="41" t="s">
        <v>541</v>
      </c>
      <c r="N110" s="41" t="s">
        <v>3141</v>
      </c>
      <c r="O110" s="41" t="s">
        <v>2369</v>
      </c>
      <c r="P110" s="41" t="s">
        <v>3140</v>
      </c>
      <c r="Q110" s="42" t="s">
        <v>1341</v>
      </c>
      <c r="V110" s="43">
        <v>1570</v>
      </c>
      <c r="W110" s="45" t="s">
        <v>1558</v>
      </c>
      <c r="X110" s="45" t="s">
        <v>970</v>
      </c>
      <c r="Y110" s="45" t="s">
        <v>1559</v>
      </c>
      <c r="Z110" s="45" t="s">
        <v>2315</v>
      </c>
      <c r="AA110" s="45" t="s">
        <v>713</v>
      </c>
      <c r="AB110" s="44" t="s">
        <v>1341</v>
      </c>
      <c r="AD110" s="46" t="s">
        <v>927</v>
      </c>
      <c r="AE110" s="47" t="s">
        <v>507</v>
      </c>
    </row>
    <row r="111" spans="11:31" ht="17.25" customHeight="1" x14ac:dyDescent="0.25">
      <c r="K111" s="40" t="s">
        <v>1302</v>
      </c>
      <c r="L111" s="41" t="s">
        <v>2479</v>
      </c>
      <c r="M111" s="41" t="s">
        <v>541</v>
      </c>
      <c r="N111" s="41" t="s">
        <v>3141</v>
      </c>
      <c r="O111" s="41" t="s">
        <v>2369</v>
      </c>
      <c r="P111" s="41" t="s">
        <v>3140</v>
      </c>
      <c r="Q111" s="42" t="s">
        <v>1341</v>
      </c>
      <c r="V111" s="43">
        <v>1376</v>
      </c>
      <c r="W111" s="45" t="s">
        <v>1560</v>
      </c>
      <c r="X111" s="45" t="s">
        <v>839</v>
      </c>
      <c r="Y111" s="45" t="s">
        <v>1561</v>
      </c>
      <c r="Z111" s="45" t="s">
        <v>2329</v>
      </c>
      <c r="AA111" s="45" t="s">
        <v>500</v>
      </c>
      <c r="AB111" s="44" t="s">
        <v>500</v>
      </c>
      <c r="AD111" s="46" t="s">
        <v>928</v>
      </c>
      <c r="AE111" s="47" t="s">
        <v>507</v>
      </c>
    </row>
    <row r="112" spans="11:31" ht="17.25" customHeight="1" x14ac:dyDescent="0.25">
      <c r="K112" s="40" t="s">
        <v>784</v>
      </c>
      <c r="L112" s="41" t="s">
        <v>2480</v>
      </c>
      <c r="M112" s="41" t="s">
        <v>541</v>
      </c>
      <c r="N112" s="41" t="s">
        <v>3139</v>
      </c>
      <c r="O112" s="41" t="s">
        <v>2369</v>
      </c>
      <c r="P112" s="41" t="s">
        <v>3140</v>
      </c>
      <c r="Q112" s="42" t="s">
        <v>1341</v>
      </c>
      <c r="V112" s="43">
        <v>2425</v>
      </c>
      <c r="W112" s="45" t="s">
        <v>1562</v>
      </c>
      <c r="X112" s="45" t="s">
        <v>893</v>
      </c>
      <c r="Y112" s="45" t="s">
        <v>1563</v>
      </c>
      <c r="Z112" s="45" t="s">
        <v>114</v>
      </c>
      <c r="AA112" s="45" t="s">
        <v>507</v>
      </c>
      <c r="AB112" s="44" t="s">
        <v>15</v>
      </c>
      <c r="AD112" s="46" t="s">
        <v>929</v>
      </c>
      <c r="AE112" s="47" t="s">
        <v>507</v>
      </c>
    </row>
    <row r="113" spans="11:31" ht="17.25" customHeight="1" x14ac:dyDescent="0.25">
      <c r="K113" s="40" t="s">
        <v>1303</v>
      </c>
      <c r="L113" s="41" t="s">
        <v>2481</v>
      </c>
      <c r="M113" s="41" t="s">
        <v>541</v>
      </c>
      <c r="N113" s="41" t="s">
        <v>3139</v>
      </c>
      <c r="O113" s="41" t="s">
        <v>2369</v>
      </c>
      <c r="P113" s="41" t="s">
        <v>3140</v>
      </c>
      <c r="Q113" s="42" t="s">
        <v>1341</v>
      </c>
      <c r="V113" s="43">
        <v>2426</v>
      </c>
      <c r="W113" s="45" t="s">
        <v>1564</v>
      </c>
      <c r="X113" s="45" t="s">
        <v>894</v>
      </c>
      <c r="Y113" s="45" t="s">
        <v>1565</v>
      </c>
      <c r="Z113" s="45" t="s">
        <v>114</v>
      </c>
      <c r="AA113" s="45" t="s">
        <v>507</v>
      </c>
      <c r="AB113" s="44" t="s">
        <v>15</v>
      </c>
      <c r="AD113" s="46" t="s">
        <v>930</v>
      </c>
      <c r="AE113" s="47" t="s">
        <v>507</v>
      </c>
    </row>
    <row r="114" spans="11:31" ht="17.25" customHeight="1" x14ac:dyDescent="0.25">
      <c r="K114" s="40" t="s">
        <v>775</v>
      </c>
      <c r="L114" s="41" t="s">
        <v>2482</v>
      </c>
      <c r="M114" s="41" t="s">
        <v>541</v>
      </c>
      <c r="N114" s="41" t="s">
        <v>3141</v>
      </c>
      <c r="O114" s="41" t="s">
        <v>2369</v>
      </c>
      <c r="P114" s="41" t="s">
        <v>3140</v>
      </c>
      <c r="Q114" s="42" t="s">
        <v>1341</v>
      </c>
      <c r="V114" s="43">
        <v>2427</v>
      </c>
      <c r="W114" s="45" t="s">
        <v>1566</v>
      </c>
      <c r="X114" s="45" t="s">
        <v>895</v>
      </c>
      <c r="Y114" s="45" t="s">
        <v>1567</v>
      </c>
      <c r="Z114" s="45" t="s">
        <v>114</v>
      </c>
      <c r="AA114" s="45" t="s">
        <v>507</v>
      </c>
      <c r="AB114" s="44" t="s">
        <v>15</v>
      </c>
      <c r="AD114" s="46" t="s">
        <v>931</v>
      </c>
      <c r="AE114" s="47" t="s">
        <v>507</v>
      </c>
    </row>
    <row r="115" spans="11:31" ht="17.25" customHeight="1" x14ac:dyDescent="0.25">
      <c r="K115" s="40" t="s">
        <v>776</v>
      </c>
      <c r="L115" s="41" t="s">
        <v>2483</v>
      </c>
      <c r="M115" s="41" t="s">
        <v>541</v>
      </c>
      <c r="N115" s="41" t="s">
        <v>3139</v>
      </c>
      <c r="O115" s="41" t="s">
        <v>2369</v>
      </c>
      <c r="P115" s="41" t="s">
        <v>3140</v>
      </c>
      <c r="Q115" s="42" t="s">
        <v>1341</v>
      </c>
      <c r="V115" s="43">
        <v>1356</v>
      </c>
      <c r="W115" s="45" t="s">
        <v>1568</v>
      </c>
      <c r="X115" s="45" t="s">
        <v>840</v>
      </c>
      <c r="Y115" s="45" t="s">
        <v>1569</v>
      </c>
      <c r="Z115" s="45" t="s">
        <v>51</v>
      </c>
      <c r="AA115" s="45" t="s">
        <v>500</v>
      </c>
      <c r="AB115" s="44" t="s">
        <v>500</v>
      </c>
      <c r="AD115" s="46" t="s">
        <v>932</v>
      </c>
      <c r="AE115" s="47" t="s">
        <v>507</v>
      </c>
    </row>
    <row r="116" spans="11:31" ht="17.25" customHeight="1" x14ac:dyDescent="0.25">
      <c r="K116" s="40" t="s">
        <v>90</v>
      </c>
      <c r="L116" s="41" t="s">
        <v>2484</v>
      </c>
      <c r="M116" s="41" t="s">
        <v>544</v>
      </c>
      <c r="N116" s="41" t="s">
        <v>3142</v>
      </c>
      <c r="O116" s="41" t="s">
        <v>2369</v>
      </c>
      <c r="P116" s="41" t="s">
        <v>3140</v>
      </c>
      <c r="Q116" s="42" t="s">
        <v>1341</v>
      </c>
      <c r="V116" s="43">
        <v>1210</v>
      </c>
      <c r="W116" s="45" t="s">
        <v>1570</v>
      </c>
      <c r="X116" s="45" t="s">
        <v>1161</v>
      </c>
      <c r="Y116" s="45" t="s">
        <v>1571</v>
      </c>
      <c r="Z116" s="45" t="s">
        <v>72</v>
      </c>
      <c r="AA116" s="45" t="s">
        <v>1322</v>
      </c>
      <c r="AB116" s="44" t="s">
        <v>1343</v>
      </c>
      <c r="AD116" s="46" t="s">
        <v>933</v>
      </c>
      <c r="AE116" s="47" t="s">
        <v>507</v>
      </c>
    </row>
    <row r="117" spans="11:31" ht="17.25" customHeight="1" x14ac:dyDescent="0.25">
      <c r="K117" s="40" t="s">
        <v>66</v>
      </c>
      <c r="L117" s="41" t="s">
        <v>2485</v>
      </c>
      <c r="M117" s="41" t="s">
        <v>544</v>
      </c>
      <c r="N117" s="41" t="s">
        <v>3142</v>
      </c>
      <c r="O117" s="41" t="s">
        <v>2369</v>
      </c>
      <c r="P117" s="41" t="s">
        <v>3140</v>
      </c>
      <c r="Q117" s="42" t="s">
        <v>1341</v>
      </c>
      <c r="V117" s="43">
        <v>1533</v>
      </c>
      <c r="W117" s="45" t="s">
        <v>1572</v>
      </c>
      <c r="X117" s="45" t="s">
        <v>1162</v>
      </c>
      <c r="Y117" s="45" t="s">
        <v>1573</v>
      </c>
      <c r="Z117" s="45" t="s">
        <v>72</v>
      </c>
      <c r="AA117" s="45" t="s">
        <v>1322</v>
      </c>
      <c r="AB117" s="44" t="s">
        <v>1343</v>
      </c>
      <c r="AD117" s="46" t="s">
        <v>934</v>
      </c>
      <c r="AE117" s="47" t="s">
        <v>507</v>
      </c>
    </row>
    <row r="118" spans="11:31" ht="17.25" customHeight="1" x14ac:dyDescent="0.25">
      <c r="K118" s="40" t="s">
        <v>181</v>
      </c>
      <c r="L118" s="41" t="s">
        <v>2486</v>
      </c>
      <c r="M118" s="41" t="s">
        <v>544</v>
      </c>
      <c r="N118" s="41" t="s">
        <v>3141</v>
      </c>
      <c r="O118" s="41" t="s">
        <v>2369</v>
      </c>
      <c r="P118" s="41" t="s">
        <v>3140</v>
      </c>
      <c r="Q118" s="42" t="s">
        <v>1341</v>
      </c>
      <c r="V118" s="43">
        <v>1303</v>
      </c>
      <c r="W118" s="45" t="s">
        <v>1574</v>
      </c>
      <c r="X118" s="45" t="s">
        <v>841</v>
      </c>
      <c r="Y118" s="45" t="s">
        <v>1575</v>
      </c>
      <c r="Z118" s="45" t="s">
        <v>76</v>
      </c>
      <c r="AA118" s="45" t="s">
        <v>500</v>
      </c>
      <c r="AB118" s="44" t="s">
        <v>500</v>
      </c>
      <c r="AD118" s="46" t="s">
        <v>796</v>
      </c>
      <c r="AE118" s="47" t="s">
        <v>507</v>
      </c>
    </row>
    <row r="119" spans="11:31" ht="17.25" customHeight="1" x14ac:dyDescent="0.25">
      <c r="K119" s="40" t="s">
        <v>2342</v>
      </c>
      <c r="L119" s="41" t="s">
        <v>3395</v>
      </c>
      <c r="M119" s="41" t="s">
        <v>544</v>
      </c>
      <c r="N119" s="41" t="s">
        <v>3141</v>
      </c>
      <c r="O119" s="41" t="s">
        <v>2369</v>
      </c>
      <c r="P119" s="41" t="s">
        <v>3140</v>
      </c>
      <c r="Q119" s="42" t="s">
        <v>1341</v>
      </c>
      <c r="V119" s="43">
        <v>2386</v>
      </c>
      <c r="W119" s="45" t="s">
        <v>1576</v>
      </c>
      <c r="X119" s="45" t="s">
        <v>1163</v>
      </c>
      <c r="Y119" s="45" t="s">
        <v>1577</v>
      </c>
      <c r="Z119" s="45" t="s">
        <v>250</v>
      </c>
      <c r="AA119" s="45" t="s">
        <v>512</v>
      </c>
      <c r="AB119" s="44" t="s">
        <v>1343</v>
      </c>
      <c r="AD119" s="46" t="s">
        <v>798</v>
      </c>
      <c r="AE119" s="47" t="s">
        <v>507</v>
      </c>
    </row>
    <row r="120" spans="11:31" ht="17.25" customHeight="1" x14ac:dyDescent="0.25">
      <c r="K120" s="40" t="s">
        <v>186</v>
      </c>
      <c r="L120" s="41" t="s">
        <v>2488</v>
      </c>
      <c r="M120" s="41" t="s">
        <v>544</v>
      </c>
      <c r="N120" s="41" t="s">
        <v>3139</v>
      </c>
      <c r="O120" s="41" t="s">
        <v>2369</v>
      </c>
      <c r="P120" s="41" t="s">
        <v>3140</v>
      </c>
      <c r="Q120" s="42" t="s">
        <v>1341</v>
      </c>
      <c r="V120" s="43">
        <v>1498</v>
      </c>
      <c r="W120" s="45" t="s">
        <v>1578</v>
      </c>
      <c r="X120" s="45" t="s">
        <v>1164</v>
      </c>
      <c r="Y120" s="45" t="s">
        <v>1579</v>
      </c>
      <c r="Z120" s="45" t="s">
        <v>2330</v>
      </c>
      <c r="AA120" s="45" t="s">
        <v>520</v>
      </c>
      <c r="AB120" s="44" t="s">
        <v>1343</v>
      </c>
      <c r="AD120" s="46" t="s">
        <v>935</v>
      </c>
      <c r="AE120" s="47" t="s">
        <v>767</v>
      </c>
    </row>
    <row r="121" spans="11:31" ht="17.25" customHeight="1" x14ac:dyDescent="0.25">
      <c r="K121" s="40" t="s">
        <v>178</v>
      </c>
      <c r="L121" s="41" t="s">
        <v>2489</v>
      </c>
      <c r="M121" s="41" t="s">
        <v>544</v>
      </c>
      <c r="N121" s="41" t="s">
        <v>3141</v>
      </c>
      <c r="O121" s="41" t="s">
        <v>2369</v>
      </c>
      <c r="P121" s="41" t="s">
        <v>3140</v>
      </c>
      <c r="Q121" s="42" t="s">
        <v>1341</v>
      </c>
      <c r="V121" s="43">
        <v>1614</v>
      </c>
      <c r="W121" s="45" t="s">
        <v>1580</v>
      </c>
      <c r="X121" s="45" t="s">
        <v>896</v>
      </c>
      <c r="Y121" s="45" t="s">
        <v>1581</v>
      </c>
      <c r="Z121" s="45" t="s">
        <v>112</v>
      </c>
      <c r="AA121" s="45" t="s">
        <v>507</v>
      </c>
      <c r="AB121" s="44" t="s">
        <v>15</v>
      </c>
      <c r="AD121" s="46" t="s">
        <v>936</v>
      </c>
      <c r="AE121" s="47" t="s">
        <v>767</v>
      </c>
    </row>
    <row r="122" spans="11:31" ht="17.25" customHeight="1" x14ac:dyDescent="0.25">
      <c r="K122" s="40" t="s">
        <v>461</v>
      </c>
      <c r="L122" s="41" t="s">
        <v>2490</v>
      </c>
      <c r="M122" s="41" t="s">
        <v>544</v>
      </c>
      <c r="N122" s="41" t="s">
        <v>3139</v>
      </c>
      <c r="O122" s="41" t="s">
        <v>2369</v>
      </c>
      <c r="P122" s="41" t="s">
        <v>3140</v>
      </c>
      <c r="Q122" s="42" t="s">
        <v>1341</v>
      </c>
      <c r="V122" s="43">
        <v>1128</v>
      </c>
      <c r="W122" s="45" t="s">
        <v>1582</v>
      </c>
      <c r="X122" s="45" t="s">
        <v>1110</v>
      </c>
      <c r="Y122" s="45" t="s">
        <v>1583</v>
      </c>
      <c r="Z122" s="45" t="s">
        <v>89</v>
      </c>
      <c r="AA122" s="45" t="s">
        <v>537</v>
      </c>
      <c r="AB122" s="44" t="s">
        <v>1342</v>
      </c>
      <c r="AD122" s="46" t="s">
        <v>937</v>
      </c>
      <c r="AE122" s="47" t="s">
        <v>767</v>
      </c>
    </row>
    <row r="123" spans="11:31" ht="17.25" customHeight="1" x14ac:dyDescent="0.25">
      <c r="K123" s="40" t="s">
        <v>347</v>
      </c>
      <c r="L123" s="41" t="s">
        <v>2491</v>
      </c>
      <c r="M123" s="41" t="s">
        <v>544</v>
      </c>
      <c r="N123" s="41" t="s">
        <v>3139</v>
      </c>
      <c r="O123" s="41" t="s">
        <v>2369</v>
      </c>
      <c r="P123" s="41" t="s">
        <v>3140</v>
      </c>
      <c r="Q123" s="42" t="s">
        <v>1341</v>
      </c>
      <c r="V123" s="43">
        <v>1290</v>
      </c>
      <c r="W123" s="45" t="s">
        <v>1584</v>
      </c>
      <c r="X123" s="45" t="s">
        <v>897</v>
      </c>
      <c r="Y123" s="45" t="s">
        <v>1585</v>
      </c>
      <c r="Z123" s="45" t="s">
        <v>129</v>
      </c>
      <c r="AA123" s="45" t="s">
        <v>507</v>
      </c>
      <c r="AB123" s="44" t="s">
        <v>15</v>
      </c>
      <c r="AD123" s="46" t="s">
        <v>938</v>
      </c>
      <c r="AE123" s="47" t="s">
        <v>767</v>
      </c>
    </row>
    <row r="124" spans="11:31" ht="17.25" customHeight="1" x14ac:dyDescent="0.25">
      <c r="K124" s="40" t="s">
        <v>677</v>
      </c>
      <c r="L124" s="41" t="s">
        <v>2492</v>
      </c>
      <c r="M124" s="41" t="s">
        <v>544</v>
      </c>
      <c r="N124" s="41" t="s">
        <v>3141</v>
      </c>
      <c r="O124" s="41" t="s">
        <v>2369</v>
      </c>
      <c r="P124" s="41" t="s">
        <v>3140</v>
      </c>
      <c r="Q124" s="42" t="s">
        <v>1341</v>
      </c>
      <c r="V124" s="43">
        <v>2270</v>
      </c>
      <c r="W124" s="45" t="s">
        <v>1586</v>
      </c>
      <c r="X124" s="45" t="s">
        <v>842</v>
      </c>
      <c r="Y124" s="45" t="s">
        <v>1587</v>
      </c>
      <c r="Z124" s="45" t="s">
        <v>51</v>
      </c>
      <c r="AA124" s="45" t="s">
        <v>500</v>
      </c>
      <c r="AB124" s="44" t="s">
        <v>500</v>
      </c>
      <c r="AD124" s="46" t="s">
        <v>939</v>
      </c>
      <c r="AE124" s="47" t="s">
        <v>767</v>
      </c>
    </row>
    <row r="125" spans="11:31" ht="17.25" customHeight="1" x14ac:dyDescent="0.25">
      <c r="K125" s="40" t="s">
        <v>1304</v>
      </c>
      <c r="L125" s="41" t="s">
        <v>553</v>
      </c>
      <c r="M125" s="41" t="s">
        <v>553</v>
      </c>
      <c r="N125" s="41" t="s">
        <v>3142</v>
      </c>
      <c r="O125" s="41" t="s">
        <v>2367</v>
      </c>
      <c r="P125" s="41" t="s">
        <v>3140</v>
      </c>
      <c r="Q125" s="42" t="s">
        <v>1341</v>
      </c>
      <c r="V125" s="43">
        <v>2331</v>
      </c>
      <c r="W125" s="45" t="s">
        <v>1588</v>
      </c>
      <c r="X125" s="45" t="s">
        <v>843</v>
      </c>
      <c r="Y125" s="45" t="s">
        <v>1589</v>
      </c>
      <c r="Z125" s="45" t="s">
        <v>51</v>
      </c>
      <c r="AA125" s="45" t="s">
        <v>500</v>
      </c>
      <c r="AB125" s="44" t="s">
        <v>500</v>
      </c>
      <c r="AD125" s="46" t="s">
        <v>940</v>
      </c>
      <c r="AE125" s="47" t="s">
        <v>767</v>
      </c>
    </row>
    <row r="126" spans="11:31" ht="17.25" customHeight="1" x14ac:dyDescent="0.25">
      <c r="K126" s="40" t="s">
        <v>33</v>
      </c>
      <c r="L126" s="41" t="s">
        <v>2493</v>
      </c>
      <c r="M126" s="41" t="s">
        <v>549</v>
      </c>
      <c r="N126" s="41" t="s">
        <v>3142</v>
      </c>
      <c r="O126" s="41" t="s">
        <v>2367</v>
      </c>
      <c r="P126" s="41" t="s">
        <v>3140</v>
      </c>
      <c r="Q126" s="42" t="s">
        <v>1341</v>
      </c>
      <c r="V126" s="43">
        <v>1547</v>
      </c>
      <c r="W126" s="45" t="s">
        <v>1590</v>
      </c>
      <c r="X126" s="45" t="s">
        <v>971</v>
      </c>
      <c r="Y126" s="45" t="s">
        <v>1591</v>
      </c>
      <c r="Z126" s="45" t="s">
        <v>2331</v>
      </c>
      <c r="AA126" s="45" t="s">
        <v>547</v>
      </c>
      <c r="AB126" s="44" t="s">
        <v>1341</v>
      </c>
      <c r="AD126" s="46" t="s">
        <v>941</v>
      </c>
      <c r="AE126" s="47" t="s">
        <v>767</v>
      </c>
    </row>
    <row r="127" spans="11:31" ht="17.25" customHeight="1" x14ac:dyDescent="0.25">
      <c r="K127" s="40" t="s">
        <v>12</v>
      </c>
      <c r="L127" s="41" t="s">
        <v>2494</v>
      </c>
      <c r="M127" s="41" t="s">
        <v>549</v>
      </c>
      <c r="N127" s="41" t="s">
        <v>3142</v>
      </c>
      <c r="O127" s="41" t="s">
        <v>2367</v>
      </c>
      <c r="P127" s="41" t="s">
        <v>3140</v>
      </c>
      <c r="Q127" s="42" t="s">
        <v>1341</v>
      </c>
      <c r="V127" s="43">
        <v>1336</v>
      </c>
      <c r="W127" s="45" t="s">
        <v>1592</v>
      </c>
      <c r="X127" s="45" t="s">
        <v>898</v>
      </c>
      <c r="Y127" s="45" t="s">
        <v>1593</v>
      </c>
      <c r="Z127" s="45" t="s">
        <v>127</v>
      </c>
      <c r="AA127" s="45" t="s">
        <v>507</v>
      </c>
      <c r="AB127" s="44" t="s">
        <v>15</v>
      </c>
      <c r="AD127" s="46" t="s">
        <v>942</v>
      </c>
      <c r="AE127" s="47" t="s">
        <v>767</v>
      </c>
    </row>
    <row r="128" spans="11:31" ht="17.25" customHeight="1" x14ac:dyDescent="0.25">
      <c r="K128" s="40" t="s">
        <v>11</v>
      </c>
      <c r="L128" s="41" t="s">
        <v>2495</v>
      </c>
      <c r="M128" s="41" t="s">
        <v>549</v>
      </c>
      <c r="N128" s="41" t="s">
        <v>3142</v>
      </c>
      <c r="O128" s="41" t="s">
        <v>2367</v>
      </c>
      <c r="P128" s="41" t="s">
        <v>3140</v>
      </c>
      <c r="Q128" s="42" t="s">
        <v>1341</v>
      </c>
      <c r="V128" s="43">
        <v>1058</v>
      </c>
      <c r="W128" s="45" t="s">
        <v>1594</v>
      </c>
      <c r="X128" s="45" t="s">
        <v>821</v>
      </c>
      <c r="Y128" s="45" t="s">
        <v>1595</v>
      </c>
      <c r="Z128" s="45" t="s">
        <v>32</v>
      </c>
      <c r="AA128" s="45" t="s">
        <v>506</v>
      </c>
      <c r="AB128" s="44" t="s">
        <v>506</v>
      </c>
      <c r="AD128" s="46" t="s">
        <v>943</v>
      </c>
      <c r="AE128" s="47" t="s">
        <v>767</v>
      </c>
    </row>
    <row r="129" spans="11:31" ht="17.25" customHeight="1" x14ac:dyDescent="0.25">
      <c r="K129" s="40" t="s">
        <v>68</v>
      </c>
      <c r="L129" s="41" t="s">
        <v>2496</v>
      </c>
      <c r="M129" s="41" t="s">
        <v>542</v>
      </c>
      <c r="N129" s="41" t="s">
        <v>3142</v>
      </c>
      <c r="O129" s="41" t="s">
        <v>2367</v>
      </c>
      <c r="P129" s="41" t="s">
        <v>3140</v>
      </c>
      <c r="Q129" s="42" t="s">
        <v>1341</v>
      </c>
      <c r="V129" s="43">
        <v>1323</v>
      </c>
      <c r="W129" s="45" t="s">
        <v>1596</v>
      </c>
      <c r="X129" s="45" t="s">
        <v>1138</v>
      </c>
      <c r="Y129" s="45" t="s">
        <v>1597</v>
      </c>
      <c r="Z129" s="45" t="s">
        <v>273</v>
      </c>
      <c r="AA129" s="45" t="s">
        <v>531</v>
      </c>
      <c r="AB129" s="44" t="s">
        <v>1343</v>
      </c>
      <c r="AD129" s="46" t="s">
        <v>944</v>
      </c>
      <c r="AE129" s="47" t="s">
        <v>767</v>
      </c>
    </row>
    <row r="130" spans="11:31" ht="17.25" customHeight="1" x14ac:dyDescent="0.25">
      <c r="K130" s="40" t="s">
        <v>26</v>
      </c>
      <c r="L130" s="41" t="s">
        <v>2497</v>
      </c>
      <c r="M130" s="41" t="s">
        <v>543</v>
      </c>
      <c r="N130" s="41" t="s">
        <v>3142</v>
      </c>
      <c r="O130" s="41" t="s">
        <v>2367</v>
      </c>
      <c r="P130" s="41" t="s">
        <v>3140</v>
      </c>
      <c r="Q130" s="42" t="s">
        <v>1341</v>
      </c>
      <c r="V130" s="43">
        <v>2350</v>
      </c>
      <c r="W130" s="45" t="s">
        <v>1598</v>
      </c>
      <c r="X130" s="45" t="s">
        <v>972</v>
      </c>
      <c r="Y130" s="45" t="s">
        <v>1599</v>
      </c>
      <c r="Z130" s="45" t="s">
        <v>2332</v>
      </c>
      <c r="AA130" s="45" t="s">
        <v>547</v>
      </c>
      <c r="AB130" s="44" t="s">
        <v>1341</v>
      </c>
      <c r="AD130" s="46" t="s">
        <v>945</v>
      </c>
      <c r="AE130" s="47" t="s">
        <v>767</v>
      </c>
    </row>
    <row r="131" spans="11:31" ht="17.25" customHeight="1" x14ac:dyDescent="0.25">
      <c r="K131" s="40" t="s">
        <v>41</v>
      </c>
      <c r="L131" s="41" t="s">
        <v>2498</v>
      </c>
      <c r="M131" s="41" t="s">
        <v>548</v>
      </c>
      <c r="N131" s="41" t="s">
        <v>3142</v>
      </c>
      <c r="O131" s="41" t="s">
        <v>2367</v>
      </c>
      <c r="P131" s="41" t="s">
        <v>3140</v>
      </c>
      <c r="Q131" s="42" t="s">
        <v>1341</v>
      </c>
      <c r="V131" s="43">
        <v>1489</v>
      </c>
      <c r="W131" s="45" t="s">
        <v>1600</v>
      </c>
      <c r="X131" s="45" t="s">
        <v>844</v>
      </c>
      <c r="Y131" s="45" t="s">
        <v>1601</v>
      </c>
      <c r="Z131" s="45" t="s">
        <v>51</v>
      </c>
      <c r="AA131" s="45" t="s">
        <v>500</v>
      </c>
      <c r="AB131" s="44" t="s">
        <v>500</v>
      </c>
      <c r="AD131" s="46" t="s">
        <v>946</v>
      </c>
      <c r="AE131" s="47" t="s">
        <v>767</v>
      </c>
    </row>
    <row r="132" spans="11:31" ht="17.25" customHeight="1" x14ac:dyDescent="0.25">
      <c r="K132" s="40" t="s">
        <v>83</v>
      </c>
      <c r="L132" s="41" t="s">
        <v>2499</v>
      </c>
      <c r="M132" s="41" t="s">
        <v>713</v>
      </c>
      <c r="N132" s="41" t="s">
        <v>3142</v>
      </c>
      <c r="O132" s="41" t="s">
        <v>2369</v>
      </c>
      <c r="P132" s="41" t="s">
        <v>3148</v>
      </c>
      <c r="Q132" s="42" t="s">
        <v>1341</v>
      </c>
      <c r="V132" s="43">
        <v>1613</v>
      </c>
      <c r="W132" s="45" t="s">
        <v>1602</v>
      </c>
      <c r="X132" s="45" t="s">
        <v>899</v>
      </c>
      <c r="Y132" s="45" t="s">
        <v>1603</v>
      </c>
      <c r="Z132" s="45" t="s">
        <v>131</v>
      </c>
      <c r="AA132" s="45" t="s">
        <v>507</v>
      </c>
      <c r="AB132" s="44" t="s">
        <v>15</v>
      </c>
      <c r="AD132" s="46" t="s">
        <v>947</v>
      </c>
      <c r="AE132" s="47" t="s">
        <v>767</v>
      </c>
    </row>
    <row r="133" spans="11:31" ht="17.25" customHeight="1" x14ac:dyDescent="0.25">
      <c r="K133" s="40" t="s">
        <v>84</v>
      </c>
      <c r="L133" s="41" t="s">
        <v>2500</v>
      </c>
      <c r="M133" s="41" t="s">
        <v>553</v>
      </c>
      <c r="N133" s="41" t="s">
        <v>3142</v>
      </c>
      <c r="O133" s="41" t="s">
        <v>2367</v>
      </c>
      <c r="P133" s="41" t="s">
        <v>3140</v>
      </c>
      <c r="Q133" s="42" t="s">
        <v>1341</v>
      </c>
      <c r="V133" s="43">
        <v>1378</v>
      </c>
      <c r="W133" s="45" t="s">
        <v>1604</v>
      </c>
      <c r="X133" s="45" t="s">
        <v>1111</v>
      </c>
      <c r="Y133" s="45" t="s">
        <v>1605</v>
      </c>
      <c r="Z133" s="45" t="s">
        <v>303</v>
      </c>
      <c r="AA133" s="45" t="s">
        <v>538</v>
      </c>
      <c r="AB133" s="44" t="s">
        <v>1342</v>
      </c>
      <c r="AD133" s="46" t="s">
        <v>948</v>
      </c>
      <c r="AE133" s="47" t="s">
        <v>767</v>
      </c>
    </row>
    <row r="134" spans="11:31" ht="17.25" customHeight="1" x14ac:dyDescent="0.25">
      <c r="K134" s="40" t="s">
        <v>75</v>
      </c>
      <c r="L134" s="41" t="s">
        <v>2501</v>
      </c>
      <c r="M134" s="41" t="s">
        <v>557</v>
      </c>
      <c r="N134" s="41" t="s">
        <v>3142</v>
      </c>
      <c r="O134" s="41" t="s">
        <v>2369</v>
      </c>
      <c r="P134" s="41" t="s">
        <v>3140</v>
      </c>
      <c r="Q134" s="42" t="s">
        <v>1341</v>
      </c>
      <c r="V134" s="43">
        <v>1419</v>
      </c>
      <c r="W134" s="45" t="s">
        <v>1606</v>
      </c>
      <c r="X134" s="45" t="s">
        <v>845</v>
      </c>
      <c r="Y134" s="45" t="s">
        <v>1607</v>
      </c>
      <c r="Z134" s="45" t="s">
        <v>47</v>
      </c>
      <c r="AA134" s="45" t="s">
        <v>500</v>
      </c>
      <c r="AB134" s="44" t="s">
        <v>500</v>
      </c>
      <c r="AD134" s="46" t="s">
        <v>949</v>
      </c>
      <c r="AE134" s="47" t="s">
        <v>767</v>
      </c>
    </row>
    <row r="135" spans="11:31" ht="17.25" customHeight="1" x14ac:dyDescent="0.25">
      <c r="K135" s="40" t="s">
        <v>60</v>
      </c>
      <c r="L135" s="41" t="s">
        <v>2502</v>
      </c>
      <c r="M135" s="41" t="s">
        <v>556</v>
      </c>
      <c r="N135" s="41" t="s">
        <v>3142</v>
      </c>
      <c r="O135" s="41" t="s">
        <v>2369</v>
      </c>
      <c r="P135" s="41" t="s">
        <v>3140</v>
      </c>
      <c r="Q135" s="42" t="s">
        <v>1341</v>
      </c>
      <c r="V135" s="43">
        <v>1404</v>
      </c>
      <c r="W135" s="45" t="s">
        <v>1608</v>
      </c>
      <c r="X135" s="45" t="s">
        <v>1112</v>
      </c>
      <c r="Y135" s="45" t="s">
        <v>1609</v>
      </c>
      <c r="Z135" s="45" t="s">
        <v>309</v>
      </c>
      <c r="AA135" s="45" t="s">
        <v>537</v>
      </c>
      <c r="AB135" s="44" t="s">
        <v>1342</v>
      </c>
      <c r="AD135" s="46" t="s">
        <v>950</v>
      </c>
      <c r="AE135" s="47" t="s">
        <v>767</v>
      </c>
    </row>
    <row r="136" spans="11:31" ht="17.25" customHeight="1" x14ac:dyDescent="0.25">
      <c r="K136" s="40" t="s">
        <v>62</v>
      </c>
      <c r="L136" s="41" t="s">
        <v>2503</v>
      </c>
      <c r="M136" s="41" t="s">
        <v>540</v>
      </c>
      <c r="N136" s="41" t="s">
        <v>3142</v>
      </c>
      <c r="O136" s="41" t="s">
        <v>2367</v>
      </c>
      <c r="P136" s="41" t="s">
        <v>3140</v>
      </c>
      <c r="Q136" s="42" t="s">
        <v>1341</v>
      </c>
      <c r="V136" s="43">
        <v>1208</v>
      </c>
      <c r="W136" s="45" t="s">
        <v>1610</v>
      </c>
      <c r="X136" s="45" t="s">
        <v>1166</v>
      </c>
      <c r="Y136" s="45" t="s">
        <v>1611</v>
      </c>
      <c r="Z136" s="45" t="s">
        <v>81</v>
      </c>
      <c r="AA136" s="45" t="s">
        <v>528</v>
      </c>
      <c r="AB136" s="44" t="s">
        <v>1343</v>
      </c>
      <c r="AD136" s="46" t="s">
        <v>951</v>
      </c>
      <c r="AE136" s="47" t="s">
        <v>767</v>
      </c>
    </row>
    <row r="137" spans="11:31" ht="17.25" customHeight="1" x14ac:dyDescent="0.25">
      <c r="K137" s="40" t="s">
        <v>31</v>
      </c>
      <c r="L137" s="41" t="s">
        <v>2504</v>
      </c>
      <c r="M137" s="41" t="s">
        <v>563</v>
      </c>
      <c r="N137" s="41" t="s">
        <v>3142</v>
      </c>
      <c r="O137" s="41" t="s">
        <v>2367</v>
      </c>
      <c r="P137" s="41" t="s">
        <v>3140</v>
      </c>
      <c r="Q137" s="42" t="s">
        <v>1341</v>
      </c>
      <c r="V137" s="43">
        <v>1554</v>
      </c>
      <c r="W137" s="45" t="s">
        <v>1612</v>
      </c>
      <c r="X137" s="45" t="s">
        <v>1167</v>
      </c>
      <c r="Y137" s="45" t="s">
        <v>1613</v>
      </c>
      <c r="Z137" s="45" t="s">
        <v>81</v>
      </c>
      <c r="AA137" s="45" t="s">
        <v>528</v>
      </c>
      <c r="AB137" s="44" t="s">
        <v>1343</v>
      </c>
      <c r="AD137" s="46" t="s">
        <v>952</v>
      </c>
      <c r="AE137" s="47" t="s">
        <v>767</v>
      </c>
    </row>
    <row r="138" spans="11:31" ht="17.25" customHeight="1" x14ac:dyDescent="0.25">
      <c r="K138" s="40" t="s">
        <v>71</v>
      </c>
      <c r="L138" s="41" t="s">
        <v>2505</v>
      </c>
      <c r="M138" s="41" t="s">
        <v>713</v>
      </c>
      <c r="N138" s="41" t="s">
        <v>3142</v>
      </c>
      <c r="O138" s="41" t="s">
        <v>2369</v>
      </c>
      <c r="P138" s="41" t="s">
        <v>3148</v>
      </c>
      <c r="Q138" s="42" t="s">
        <v>1341</v>
      </c>
      <c r="V138" s="43">
        <v>1119</v>
      </c>
      <c r="W138" s="45" t="s">
        <v>1614</v>
      </c>
      <c r="X138" s="45" t="s">
        <v>1168</v>
      </c>
      <c r="Y138" s="45" t="s">
        <v>1615</v>
      </c>
      <c r="Z138" s="45" t="s">
        <v>70</v>
      </c>
      <c r="AA138" s="45" t="s">
        <v>527</v>
      </c>
      <c r="AB138" s="44" t="s">
        <v>1343</v>
      </c>
      <c r="AD138" s="46" t="s">
        <v>953</v>
      </c>
      <c r="AE138" s="47" t="s">
        <v>767</v>
      </c>
    </row>
    <row r="139" spans="11:31" ht="17.25" customHeight="1" x14ac:dyDescent="0.25">
      <c r="K139" s="40" t="s">
        <v>792</v>
      </c>
      <c r="L139" s="41" t="s">
        <v>2506</v>
      </c>
      <c r="M139" s="41" t="s">
        <v>559</v>
      </c>
      <c r="N139" s="41" t="s">
        <v>3142</v>
      </c>
      <c r="O139" s="41" t="s">
        <v>2369</v>
      </c>
      <c r="P139" s="41" t="s">
        <v>3148</v>
      </c>
      <c r="Q139" s="42" t="s">
        <v>1341</v>
      </c>
      <c r="V139" s="43">
        <v>1617</v>
      </c>
      <c r="W139" s="45" t="s">
        <v>1616</v>
      </c>
      <c r="X139" s="45" t="s">
        <v>1169</v>
      </c>
      <c r="Y139" s="45" t="s">
        <v>1617</v>
      </c>
      <c r="Z139" s="45" t="s">
        <v>2333</v>
      </c>
      <c r="AA139" s="45" t="s">
        <v>527</v>
      </c>
      <c r="AB139" s="44" t="s">
        <v>1343</v>
      </c>
      <c r="AD139" s="46" t="s">
        <v>954</v>
      </c>
      <c r="AE139" s="47" t="s">
        <v>767</v>
      </c>
    </row>
    <row r="140" spans="11:31" ht="17.25" customHeight="1" x14ac:dyDescent="0.25">
      <c r="K140" s="40" t="s">
        <v>74</v>
      </c>
      <c r="L140" s="41" t="s">
        <v>2507</v>
      </c>
      <c r="M140" s="41" t="s">
        <v>547</v>
      </c>
      <c r="N140" s="41" t="s">
        <v>3142</v>
      </c>
      <c r="O140" s="41" t="s">
        <v>2369</v>
      </c>
      <c r="P140" s="41" t="s">
        <v>3140</v>
      </c>
      <c r="Q140" s="42" t="s">
        <v>1341</v>
      </c>
      <c r="V140" s="43">
        <v>1368</v>
      </c>
      <c r="W140" s="45" t="s">
        <v>1618</v>
      </c>
      <c r="X140" s="45" t="s">
        <v>973</v>
      </c>
      <c r="Y140" s="45" t="s">
        <v>1619</v>
      </c>
      <c r="Z140" s="45" t="s">
        <v>390</v>
      </c>
      <c r="AA140" s="45" t="s">
        <v>547</v>
      </c>
      <c r="AB140" s="44" t="s">
        <v>1341</v>
      </c>
      <c r="AD140" s="46" t="s">
        <v>955</v>
      </c>
      <c r="AE140" s="47" t="s">
        <v>767</v>
      </c>
    </row>
    <row r="141" spans="11:31" ht="17.25" customHeight="1" x14ac:dyDescent="0.25">
      <c r="K141" s="40" t="s">
        <v>73</v>
      </c>
      <c r="L141" s="41" t="s">
        <v>2508</v>
      </c>
      <c r="M141" s="41" t="s">
        <v>554</v>
      </c>
      <c r="N141" s="41" t="s">
        <v>3142</v>
      </c>
      <c r="O141" s="41" t="s">
        <v>2369</v>
      </c>
      <c r="P141" s="41" t="s">
        <v>3140</v>
      </c>
      <c r="Q141" s="42" t="s">
        <v>1341</v>
      </c>
      <c r="V141" s="43">
        <v>1431</v>
      </c>
      <c r="W141" s="45" t="s">
        <v>1620</v>
      </c>
      <c r="X141" s="45" t="s">
        <v>1113</v>
      </c>
      <c r="Y141" s="45" t="s">
        <v>1621</v>
      </c>
      <c r="Z141" s="45" t="s">
        <v>790</v>
      </c>
      <c r="AA141" s="45" t="s">
        <v>806</v>
      </c>
      <c r="AB141" s="44" t="s">
        <v>1342</v>
      </c>
      <c r="AD141" s="46" t="s">
        <v>956</v>
      </c>
      <c r="AE141" s="47" t="s">
        <v>767</v>
      </c>
    </row>
    <row r="142" spans="11:31" ht="17.25" customHeight="1" x14ac:dyDescent="0.25">
      <c r="K142" s="40" t="s">
        <v>30</v>
      </c>
      <c r="L142" s="41" t="s">
        <v>2509</v>
      </c>
      <c r="M142" s="41" t="s">
        <v>545</v>
      </c>
      <c r="N142" s="41" t="s">
        <v>3142</v>
      </c>
      <c r="O142" s="41" t="s">
        <v>2369</v>
      </c>
      <c r="P142" s="41" t="s">
        <v>3148</v>
      </c>
      <c r="Q142" s="42" t="s">
        <v>1341</v>
      </c>
      <c r="V142" s="43">
        <v>1464</v>
      </c>
      <c r="W142" s="45" t="s">
        <v>1622</v>
      </c>
      <c r="X142" s="45" t="s">
        <v>900</v>
      </c>
      <c r="Y142" s="45" t="s">
        <v>1623</v>
      </c>
      <c r="Z142" s="45" t="s">
        <v>23</v>
      </c>
      <c r="AA142" s="45" t="s">
        <v>507</v>
      </c>
      <c r="AB142" s="44" t="s">
        <v>15</v>
      </c>
      <c r="AD142" s="46" t="s">
        <v>957</v>
      </c>
      <c r="AE142" s="47" t="s">
        <v>767</v>
      </c>
    </row>
    <row r="143" spans="11:31" ht="17.25" customHeight="1" x14ac:dyDescent="0.25">
      <c r="K143" s="40" t="s">
        <v>58</v>
      </c>
      <c r="L143" s="41" t="s">
        <v>2510</v>
      </c>
      <c r="M143" s="41" t="s">
        <v>502</v>
      </c>
      <c r="N143" s="41" t="s">
        <v>3142</v>
      </c>
      <c r="O143" s="41" t="s">
        <v>2367</v>
      </c>
      <c r="P143" s="41" t="s">
        <v>3140</v>
      </c>
      <c r="Q143" s="42" t="s">
        <v>1341</v>
      </c>
      <c r="V143" s="43">
        <v>2330</v>
      </c>
      <c r="W143" s="45" t="s">
        <v>1624</v>
      </c>
      <c r="X143" s="45" t="s">
        <v>846</v>
      </c>
      <c r="Y143" s="45" t="s">
        <v>1625</v>
      </c>
      <c r="Z143" s="45" t="s">
        <v>27</v>
      </c>
      <c r="AA143" s="45" t="s">
        <v>500</v>
      </c>
      <c r="AB143" s="44" t="s">
        <v>500</v>
      </c>
      <c r="AD143" s="46" t="s">
        <v>958</v>
      </c>
      <c r="AE143" s="47" t="s">
        <v>767</v>
      </c>
    </row>
    <row r="144" spans="11:31" ht="17.25" customHeight="1" x14ac:dyDescent="0.25">
      <c r="K144" s="40" t="s">
        <v>54</v>
      </c>
      <c r="L144" s="41" t="s">
        <v>2511</v>
      </c>
      <c r="M144" s="41" t="s">
        <v>553</v>
      </c>
      <c r="N144" s="41" t="s">
        <v>3141</v>
      </c>
      <c r="O144" s="41" t="s">
        <v>2367</v>
      </c>
      <c r="P144" s="41" t="s">
        <v>3140</v>
      </c>
      <c r="Q144" s="42" t="s">
        <v>1341</v>
      </c>
      <c r="V144" s="43">
        <v>1394</v>
      </c>
      <c r="W144" s="45" t="s">
        <v>1626</v>
      </c>
      <c r="X144" s="45" t="s">
        <v>901</v>
      </c>
      <c r="Y144" s="45" t="s">
        <v>1627</v>
      </c>
      <c r="Z144" s="45" t="s">
        <v>125</v>
      </c>
      <c r="AA144" s="45" t="s">
        <v>507</v>
      </c>
      <c r="AB144" s="44" t="s">
        <v>15</v>
      </c>
      <c r="AD144" s="46" t="s">
        <v>959</v>
      </c>
      <c r="AE144" s="47" t="s">
        <v>767</v>
      </c>
    </row>
    <row r="145" spans="11:31" ht="17.25" customHeight="1" x14ac:dyDescent="0.25">
      <c r="K145" s="40" t="s">
        <v>64</v>
      </c>
      <c r="L145" s="41" t="s">
        <v>2512</v>
      </c>
      <c r="M145" s="41" t="s">
        <v>561</v>
      </c>
      <c r="N145" s="41" t="s">
        <v>3142</v>
      </c>
      <c r="O145" s="41" t="s">
        <v>2367</v>
      </c>
      <c r="P145" s="41" t="s">
        <v>3140</v>
      </c>
      <c r="Q145" s="42" t="s">
        <v>1341</v>
      </c>
      <c r="V145" s="43">
        <v>1114</v>
      </c>
      <c r="W145" s="45" t="s">
        <v>1628</v>
      </c>
      <c r="X145" s="45" t="s">
        <v>1170</v>
      </c>
      <c r="Y145" s="45" t="s">
        <v>3232</v>
      </c>
      <c r="Z145" s="45" t="s">
        <v>67</v>
      </c>
      <c r="AA145" s="45" t="s">
        <v>499</v>
      </c>
      <c r="AB145" s="44" t="s">
        <v>1343</v>
      </c>
      <c r="AD145" s="46" t="s">
        <v>960</v>
      </c>
      <c r="AE145" s="47" t="s">
        <v>767</v>
      </c>
    </row>
    <row r="146" spans="11:31" ht="17.25" customHeight="1" x14ac:dyDescent="0.25">
      <c r="K146" s="40" t="s">
        <v>56</v>
      </c>
      <c r="L146" s="41" t="s">
        <v>2513</v>
      </c>
      <c r="M146" s="41" t="s">
        <v>558</v>
      </c>
      <c r="N146" s="41" t="s">
        <v>3142</v>
      </c>
      <c r="O146" s="41" t="s">
        <v>2367</v>
      </c>
      <c r="P146" s="41" t="s">
        <v>3140</v>
      </c>
      <c r="Q146" s="42" t="s">
        <v>1341</v>
      </c>
      <c r="V146" s="43">
        <v>1416</v>
      </c>
      <c r="W146" s="45" t="s">
        <v>1629</v>
      </c>
      <c r="X146" s="45" t="s">
        <v>1630</v>
      </c>
      <c r="Y146" s="45" t="s">
        <v>1631</v>
      </c>
      <c r="Z146" s="45" t="s">
        <v>110</v>
      </c>
      <c r="AA146" s="45" t="s">
        <v>507</v>
      </c>
      <c r="AB146" s="44" t="s">
        <v>15</v>
      </c>
      <c r="AD146" s="46" t="s">
        <v>961</v>
      </c>
      <c r="AE146" s="47" t="s">
        <v>767</v>
      </c>
    </row>
    <row r="147" spans="11:31" ht="17.25" customHeight="1" x14ac:dyDescent="0.25">
      <c r="K147" s="40" t="s">
        <v>85</v>
      </c>
      <c r="L147" s="41" t="s">
        <v>2514</v>
      </c>
      <c r="M147" s="41" t="s">
        <v>503</v>
      </c>
      <c r="N147" s="41" t="s">
        <v>3142</v>
      </c>
      <c r="O147" s="41" t="s">
        <v>2369</v>
      </c>
      <c r="P147" s="41" t="s">
        <v>3140</v>
      </c>
      <c r="Q147" s="42" t="s">
        <v>1341</v>
      </c>
      <c r="V147" s="43">
        <v>1502</v>
      </c>
      <c r="W147" s="45" t="s">
        <v>1632</v>
      </c>
      <c r="X147" s="45" t="s">
        <v>975</v>
      </c>
      <c r="Y147" s="45" t="s">
        <v>1633</v>
      </c>
      <c r="Z147" s="45" t="s">
        <v>587</v>
      </c>
      <c r="AA147" s="45" t="s">
        <v>547</v>
      </c>
      <c r="AB147" s="44" t="s">
        <v>1341</v>
      </c>
      <c r="AD147" s="46" t="s">
        <v>962</v>
      </c>
      <c r="AE147" s="47" t="s">
        <v>767</v>
      </c>
    </row>
    <row r="148" spans="11:31" ht="17.25" customHeight="1" x14ac:dyDescent="0.25">
      <c r="K148" s="40" t="s">
        <v>59</v>
      </c>
      <c r="L148" s="41" t="s">
        <v>2515</v>
      </c>
      <c r="M148" s="41" t="s">
        <v>564</v>
      </c>
      <c r="N148" s="41" t="s">
        <v>3142</v>
      </c>
      <c r="O148" s="41" t="s">
        <v>2367</v>
      </c>
      <c r="P148" s="41" t="s">
        <v>3140</v>
      </c>
      <c r="Q148" s="42" t="s">
        <v>1341</v>
      </c>
      <c r="V148" s="43">
        <v>1176</v>
      </c>
      <c r="W148" s="45" t="s">
        <v>1634</v>
      </c>
      <c r="X148" s="45" t="s">
        <v>1635</v>
      </c>
      <c r="Y148" s="45" t="s">
        <v>3118</v>
      </c>
      <c r="Z148" s="45" t="s">
        <v>68</v>
      </c>
      <c r="AA148" s="45" t="s">
        <v>542</v>
      </c>
      <c r="AB148" s="44" t="s">
        <v>1341</v>
      </c>
      <c r="AD148" s="46" t="s">
        <v>963</v>
      </c>
      <c r="AE148" s="47" t="s">
        <v>767</v>
      </c>
    </row>
    <row r="149" spans="11:31" ht="17.25" customHeight="1" x14ac:dyDescent="0.25">
      <c r="K149" s="40" t="s">
        <v>44</v>
      </c>
      <c r="L149" s="41" t="s">
        <v>2516</v>
      </c>
      <c r="M149" s="41" t="s">
        <v>560</v>
      </c>
      <c r="N149" s="41" t="s">
        <v>3142</v>
      </c>
      <c r="O149" s="41" t="s">
        <v>2369</v>
      </c>
      <c r="P149" s="41" t="s">
        <v>3148</v>
      </c>
      <c r="Q149" s="42" t="s">
        <v>1341</v>
      </c>
      <c r="V149" s="43">
        <v>2274</v>
      </c>
      <c r="W149" s="45" t="s">
        <v>1636</v>
      </c>
      <c r="X149" s="45" t="s">
        <v>903</v>
      </c>
      <c r="Y149" s="45" t="s">
        <v>1637</v>
      </c>
      <c r="Z149" s="45" t="s">
        <v>112</v>
      </c>
      <c r="AA149" s="45" t="s">
        <v>507</v>
      </c>
      <c r="AB149" s="44" t="s">
        <v>15</v>
      </c>
      <c r="AD149" s="46" t="s">
        <v>964</v>
      </c>
      <c r="AE149" s="47" t="s">
        <v>767</v>
      </c>
    </row>
    <row r="150" spans="11:31" ht="17.25" customHeight="1" x14ac:dyDescent="0.25">
      <c r="K150" s="40" t="s">
        <v>37</v>
      </c>
      <c r="L150" s="41" t="s">
        <v>2517</v>
      </c>
      <c r="M150" s="41" t="s">
        <v>555</v>
      </c>
      <c r="N150" s="41" t="s">
        <v>3142</v>
      </c>
      <c r="O150" s="41" t="s">
        <v>2367</v>
      </c>
      <c r="P150" s="41" t="s">
        <v>3140</v>
      </c>
      <c r="Q150" s="42" t="s">
        <v>1341</v>
      </c>
      <c r="V150" s="43">
        <v>2376</v>
      </c>
      <c r="W150" s="45" t="s">
        <v>1638</v>
      </c>
      <c r="X150" s="45" t="s">
        <v>904</v>
      </c>
      <c r="Y150" s="45" t="s">
        <v>3104</v>
      </c>
      <c r="Z150" s="45" t="s">
        <v>112</v>
      </c>
      <c r="AA150" s="45" t="s">
        <v>507</v>
      </c>
      <c r="AB150" s="44" t="s">
        <v>15</v>
      </c>
      <c r="AD150" s="46" t="s">
        <v>965</v>
      </c>
      <c r="AE150" s="47" t="s">
        <v>767</v>
      </c>
    </row>
    <row r="151" spans="11:31" ht="17.25" customHeight="1" x14ac:dyDescent="0.25">
      <c r="K151" s="40" t="s">
        <v>61</v>
      </c>
      <c r="L151" s="41" t="s">
        <v>2518</v>
      </c>
      <c r="M151" s="41" t="s">
        <v>565</v>
      </c>
      <c r="N151" s="41" t="s">
        <v>3142</v>
      </c>
      <c r="O151" s="41" t="s">
        <v>2367</v>
      </c>
      <c r="P151" s="41" t="s">
        <v>3140</v>
      </c>
      <c r="Q151" s="42" t="s">
        <v>1341</v>
      </c>
      <c r="V151" s="43">
        <v>1562</v>
      </c>
      <c r="W151" s="45" t="s">
        <v>1639</v>
      </c>
      <c r="X151" s="45" t="s">
        <v>976</v>
      </c>
      <c r="Y151" s="45" t="s">
        <v>1640</v>
      </c>
      <c r="Z151" s="45" t="s">
        <v>2334</v>
      </c>
      <c r="AA151" s="45" t="s">
        <v>554</v>
      </c>
      <c r="AB151" s="44" t="s">
        <v>1341</v>
      </c>
      <c r="AD151" s="46" t="s">
        <v>966</v>
      </c>
      <c r="AE151" s="47" t="s">
        <v>767</v>
      </c>
    </row>
    <row r="152" spans="11:31" ht="17.25" customHeight="1" x14ac:dyDescent="0.25">
      <c r="K152" s="40" t="s">
        <v>3399</v>
      </c>
      <c r="L152" s="41" t="s">
        <v>3400</v>
      </c>
      <c r="M152" s="41" t="s">
        <v>546</v>
      </c>
      <c r="N152" s="41" t="s">
        <v>3142</v>
      </c>
      <c r="O152" s="41" t="s">
        <v>2369</v>
      </c>
      <c r="P152" s="41" t="s">
        <v>3140</v>
      </c>
      <c r="Q152" s="42" t="s">
        <v>1341</v>
      </c>
      <c r="V152" s="43">
        <v>1467</v>
      </c>
      <c r="W152" s="45" t="s">
        <v>1641</v>
      </c>
      <c r="X152" s="45" t="s">
        <v>847</v>
      </c>
      <c r="Y152" s="45" t="s">
        <v>1642</v>
      </c>
      <c r="Z152" s="45" t="s">
        <v>153</v>
      </c>
      <c r="AA152" s="45" t="s">
        <v>500</v>
      </c>
      <c r="AB152" s="44" t="s">
        <v>500</v>
      </c>
      <c r="AD152" s="46" t="s">
        <v>967</v>
      </c>
      <c r="AE152" s="47" t="s">
        <v>767</v>
      </c>
    </row>
    <row r="153" spans="11:31" ht="17.25" customHeight="1" x14ac:dyDescent="0.25">
      <c r="K153" s="40" t="s">
        <v>63</v>
      </c>
      <c r="L153" s="41" t="s">
        <v>2520</v>
      </c>
      <c r="M153" s="41" t="s">
        <v>551</v>
      </c>
      <c r="N153" s="41" t="s">
        <v>3142</v>
      </c>
      <c r="O153" s="41" t="s">
        <v>2369</v>
      </c>
      <c r="P153" s="41" t="s">
        <v>3140</v>
      </c>
      <c r="Q153" s="42" t="s">
        <v>1341</v>
      </c>
      <c r="V153" s="43">
        <v>1266</v>
      </c>
      <c r="W153" s="45" t="s">
        <v>1643</v>
      </c>
      <c r="X153" s="45" t="s">
        <v>905</v>
      </c>
      <c r="Y153" s="45" t="s">
        <v>1644</v>
      </c>
      <c r="Z153" s="45" t="s">
        <v>116</v>
      </c>
      <c r="AA153" s="45" t="s">
        <v>507</v>
      </c>
      <c r="AB153" s="44" t="s">
        <v>15</v>
      </c>
      <c r="AD153" s="46" t="s">
        <v>968</v>
      </c>
      <c r="AE153" s="47" t="s">
        <v>767</v>
      </c>
    </row>
    <row r="154" spans="11:31" ht="17.25" customHeight="1" x14ac:dyDescent="0.25">
      <c r="K154" s="40" t="s">
        <v>36</v>
      </c>
      <c r="L154" s="41" t="s">
        <v>2521</v>
      </c>
      <c r="M154" s="41" t="s">
        <v>550</v>
      </c>
      <c r="N154" s="41" t="s">
        <v>3142</v>
      </c>
      <c r="O154" s="41" t="s">
        <v>2369</v>
      </c>
      <c r="P154" s="41" t="s">
        <v>3140</v>
      </c>
      <c r="Q154" s="42" t="s">
        <v>1341</v>
      </c>
      <c r="V154" s="43">
        <v>1887</v>
      </c>
      <c r="W154" s="45" t="s">
        <v>1645</v>
      </c>
      <c r="X154" s="45" t="s">
        <v>977</v>
      </c>
      <c r="Y154" s="45" t="s">
        <v>3112</v>
      </c>
      <c r="Z154" s="45" t="s">
        <v>64</v>
      </c>
      <c r="AA154" s="45" t="s">
        <v>561</v>
      </c>
      <c r="AB154" s="44" t="s">
        <v>1341</v>
      </c>
      <c r="AD154" s="46" t="s">
        <v>969</v>
      </c>
      <c r="AE154" s="47" t="s">
        <v>767</v>
      </c>
    </row>
    <row r="155" spans="11:31" ht="17.25" customHeight="1" x14ac:dyDescent="0.25">
      <c r="K155" s="40" t="s">
        <v>792</v>
      </c>
      <c r="L155" s="41" t="s">
        <v>2506</v>
      </c>
      <c r="M155" s="41" t="s">
        <v>559</v>
      </c>
      <c r="N155" s="41" t="s">
        <v>3142</v>
      </c>
      <c r="O155" s="41" t="s">
        <v>2369</v>
      </c>
      <c r="P155" s="41" t="s">
        <v>3148</v>
      </c>
      <c r="Q155" s="42" t="s">
        <v>1341</v>
      </c>
      <c r="V155" s="43">
        <v>1952</v>
      </c>
      <c r="W155" s="45" t="s">
        <v>1646</v>
      </c>
      <c r="X155" s="45" t="s">
        <v>978</v>
      </c>
      <c r="Y155" s="45" t="s">
        <v>1647</v>
      </c>
      <c r="Z155" s="45" t="s">
        <v>374</v>
      </c>
      <c r="AA155" s="45" t="s">
        <v>557</v>
      </c>
      <c r="AB155" s="44" t="s">
        <v>1341</v>
      </c>
      <c r="AD155" s="46" t="s">
        <v>970</v>
      </c>
      <c r="AE155" s="47" t="s">
        <v>767</v>
      </c>
    </row>
    <row r="156" spans="11:31" ht="17.25" customHeight="1" x14ac:dyDescent="0.25">
      <c r="K156" s="40" t="s">
        <v>325</v>
      </c>
      <c r="L156" s="41" t="s">
        <v>2522</v>
      </c>
      <c r="M156" s="41" t="s">
        <v>553</v>
      </c>
      <c r="N156" s="41" t="s">
        <v>3139</v>
      </c>
      <c r="O156" s="41" t="s">
        <v>2367</v>
      </c>
      <c r="P156" s="41" t="s">
        <v>3140</v>
      </c>
      <c r="Q156" s="42" t="s">
        <v>1341</v>
      </c>
      <c r="V156" s="43">
        <v>1151</v>
      </c>
      <c r="W156" s="45" t="s">
        <v>1648</v>
      </c>
      <c r="X156" s="45" t="s">
        <v>1114</v>
      </c>
      <c r="Y156" s="45" t="s">
        <v>1649</v>
      </c>
      <c r="Z156" s="45" t="s">
        <v>2335</v>
      </c>
      <c r="AA156" s="45" t="s">
        <v>539</v>
      </c>
      <c r="AB156" s="44" t="s">
        <v>1342</v>
      </c>
      <c r="AD156" s="46" t="s">
        <v>971</v>
      </c>
      <c r="AE156" s="47" t="s">
        <v>767</v>
      </c>
    </row>
    <row r="157" spans="11:31" ht="17.25" customHeight="1" x14ac:dyDescent="0.25">
      <c r="K157" s="40" t="s">
        <v>328</v>
      </c>
      <c r="L157" s="41" t="s">
        <v>2523</v>
      </c>
      <c r="M157" s="41" t="s">
        <v>540</v>
      </c>
      <c r="N157" s="41" t="s">
        <v>3141</v>
      </c>
      <c r="O157" s="41" t="s">
        <v>2367</v>
      </c>
      <c r="P157" s="41" t="s">
        <v>3140</v>
      </c>
      <c r="Q157" s="42" t="s">
        <v>1341</v>
      </c>
      <c r="V157" s="43">
        <v>1447</v>
      </c>
      <c r="W157" s="45" t="s">
        <v>1650</v>
      </c>
      <c r="X157" s="45" t="s">
        <v>979</v>
      </c>
      <c r="Y157" s="45" t="s">
        <v>1651</v>
      </c>
      <c r="Z157" s="45" t="s">
        <v>183</v>
      </c>
      <c r="AA157" s="45" t="s">
        <v>552</v>
      </c>
      <c r="AB157" s="44" t="s">
        <v>1341</v>
      </c>
      <c r="AD157" s="46" t="s">
        <v>972</v>
      </c>
      <c r="AE157" s="47" t="s">
        <v>767</v>
      </c>
    </row>
    <row r="158" spans="11:31" ht="17.25" customHeight="1" x14ac:dyDescent="0.25">
      <c r="K158" s="40" t="s">
        <v>332</v>
      </c>
      <c r="L158" s="41" t="s">
        <v>2523</v>
      </c>
      <c r="M158" s="41" t="s">
        <v>543</v>
      </c>
      <c r="N158" s="41" t="s">
        <v>3141</v>
      </c>
      <c r="O158" s="41" t="s">
        <v>2367</v>
      </c>
      <c r="P158" s="41" t="s">
        <v>3140</v>
      </c>
      <c r="Q158" s="42" t="s">
        <v>1341</v>
      </c>
      <c r="V158" s="43">
        <v>1448</v>
      </c>
      <c r="W158" s="45" t="s">
        <v>1652</v>
      </c>
      <c r="X158" s="45" t="s">
        <v>980</v>
      </c>
      <c r="Y158" s="45" t="s">
        <v>1653</v>
      </c>
      <c r="Z158" s="45" t="s">
        <v>420</v>
      </c>
      <c r="AA158" s="45" t="s">
        <v>552</v>
      </c>
      <c r="AB158" s="44" t="s">
        <v>1341</v>
      </c>
      <c r="AD158" s="46" t="s">
        <v>973</v>
      </c>
      <c r="AE158" s="47" t="s">
        <v>767</v>
      </c>
    </row>
    <row r="159" spans="11:31" ht="17.25" customHeight="1" x14ac:dyDescent="0.25">
      <c r="K159" s="40" t="s">
        <v>354</v>
      </c>
      <c r="L159" s="41" t="s">
        <v>2523</v>
      </c>
      <c r="M159" s="41" t="s">
        <v>502</v>
      </c>
      <c r="N159" s="41" t="s">
        <v>3141</v>
      </c>
      <c r="O159" s="41" t="s">
        <v>2367</v>
      </c>
      <c r="P159" s="41" t="s">
        <v>3140</v>
      </c>
      <c r="Q159" s="42" t="s">
        <v>1341</v>
      </c>
      <c r="V159" s="43">
        <v>1195</v>
      </c>
      <c r="W159" s="45" t="s">
        <v>1654</v>
      </c>
      <c r="X159" s="45" t="s">
        <v>981</v>
      </c>
      <c r="Y159" s="45" t="s">
        <v>1655</v>
      </c>
      <c r="Z159" s="45" t="s">
        <v>785</v>
      </c>
      <c r="AA159" s="45" t="s">
        <v>541</v>
      </c>
      <c r="AB159" s="44" t="s">
        <v>1341</v>
      </c>
      <c r="AD159" s="46" t="s">
        <v>974</v>
      </c>
      <c r="AE159" s="47" t="s">
        <v>767</v>
      </c>
    </row>
    <row r="160" spans="11:31" ht="17.25" customHeight="1" x14ac:dyDescent="0.25">
      <c r="K160" s="40" t="s">
        <v>349</v>
      </c>
      <c r="L160" s="41" t="s">
        <v>2523</v>
      </c>
      <c r="M160" s="41" t="s">
        <v>503</v>
      </c>
      <c r="N160" s="41" t="s">
        <v>3141</v>
      </c>
      <c r="O160" s="41" t="s">
        <v>2369</v>
      </c>
      <c r="P160" s="41" t="s">
        <v>3140</v>
      </c>
      <c r="Q160" s="42" t="s">
        <v>1341</v>
      </c>
      <c r="V160" s="43">
        <v>1118</v>
      </c>
      <c r="W160" s="45" t="s">
        <v>1656</v>
      </c>
      <c r="X160" s="45" t="s">
        <v>1171</v>
      </c>
      <c r="Y160" s="45" t="s">
        <v>1657</v>
      </c>
      <c r="Z160" s="45" t="s">
        <v>2336</v>
      </c>
      <c r="AA160" s="45" t="s">
        <v>526</v>
      </c>
      <c r="AB160" s="44" t="s">
        <v>1343</v>
      </c>
      <c r="AD160" s="46" t="s">
        <v>975</v>
      </c>
      <c r="AE160" s="47" t="s">
        <v>767</v>
      </c>
    </row>
    <row r="161" spans="11:31" ht="17.25" customHeight="1" x14ac:dyDescent="0.25">
      <c r="K161" s="40" t="s">
        <v>327</v>
      </c>
      <c r="L161" s="41" t="s">
        <v>2523</v>
      </c>
      <c r="M161" s="41" t="s">
        <v>563</v>
      </c>
      <c r="N161" s="41" t="s">
        <v>3141</v>
      </c>
      <c r="O161" s="41" t="s">
        <v>2367</v>
      </c>
      <c r="P161" s="41" t="s">
        <v>3140</v>
      </c>
      <c r="Q161" s="42" t="s">
        <v>1341</v>
      </c>
      <c r="V161" s="43">
        <v>1569</v>
      </c>
      <c r="W161" s="45" t="s">
        <v>1658</v>
      </c>
      <c r="X161" s="45" t="s">
        <v>1172</v>
      </c>
      <c r="Y161" s="45" t="s">
        <v>1659</v>
      </c>
      <c r="Z161" s="45" t="s">
        <v>2336</v>
      </c>
      <c r="AA161" s="45" t="s">
        <v>526</v>
      </c>
      <c r="AB161" s="44" t="s">
        <v>1343</v>
      </c>
      <c r="AD161" s="46" t="s">
        <v>976</v>
      </c>
      <c r="AE161" s="47" t="s">
        <v>767</v>
      </c>
    </row>
    <row r="162" spans="11:31" ht="17.25" customHeight="1" x14ac:dyDescent="0.25">
      <c r="K162" s="40" t="s">
        <v>357</v>
      </c>
      <c r="L162" s="41" t="s">
        <v>2524</v>
      </c>
      <c r="M162" s="41" t="s">
        <v>563</v>
      </c>
      <c r="N162" s="41" t="s">
        <v>3141</v>
      </c>
      <c r="O162" s="41" t="s">
        <v>2367</v>
      </c>
      <c r="P162" s="41" t="s">
        <v>3140</v>
      </c>
      <c r="Q162" s="42" t="s">
        <v>1341</v>
      </c>
      <c r="V162" s="43">
        <v>1212</v>
      </c>
      <c r="W162" s="45" t="s">
        <v>1660</v>
      </c>
      <c r="X162" s="45" t="s">
        <v>1173</v>
      </c>
      <c r="Y162" s="45" t="s">
        <v>1661</v>
      </c>
      <c r="Z162" s="45" t="s">
        <v>228</v>
      </c>
      <c r="AA162" s="45" t="s">
        <v>521</v>
      </c>
      <c r="AB162" s="44" t="s">
        <v>1343</v>
      </c>
      <c r="AD162" s="46" t="s">
        <v>977</v>
      </c>
      <c r="AE162" s="47" t="s">
        <v>767</v>
      </c>
    </row>
    <row r="163" spans="11:31" ht="17.25" customHeight="1" x14ac:dyDescent="0.25">
      <c r="K163" s="40" t="s">
        <v>659</v>
      </c>
      <c r="L163" s="41" t="s">
        <v>2525</v>
      </c>
      <c r="M163" s="41" t="s">
        <v>554</v>
      </c>
      <c r="N163" s="41" t="s">
        <v>3141</v>
      </c>
      <c r="O163" s="41" t="s">
        <v>2369</v>
      </c>
      <c r="P163" s="41" t="s">
        <v>3140</v>
      </c>
      <c r="Q163" s="42" t="s">
        <v>1341</v>
      </c>
      <c r="V163" s="43">
        <v>1899</v>
      </c>
      <c r="W163" s="45" t="s">
        <v>1662</v>
      </c>
      <c r="X163" s="45" t="s">
        <v>822</v>
      </c>
      <c r="Y163" s="45" t="s">
        <v>3095</v>
      </c>
      <c r="Z163" s="45" t="s">
        <v>93</v>
      </c>
      <c r="AA163" s="45" t="s">
        <v>506</v>
      </c>
      <c r="AB163" s="44" t="s">
        <v>506</v>
      </c>
      <c r="AD163" s="46" t="s">
        <v>978</v>
      </c>
      <c r="AE163" s="47" t="s">
        <v>767</v>
      </c>
    </row>
    <row r="164" spans="11:31" ht="17.25" customHeight="1" x14ac:dyDescent="0.25">
      <c r="K164" s="40" t="s">
        <v>329</v>
      </c>
      <c r="L164" s="41" t="s">
        <v>2526</v>
      </c>
      <c r="M164" s="41" t="s">
        <v>713</v>
      </c>
      <c r="N164" s="41" t="s">
        <v>3141</v>
      </c>
      <c r="O164" s="41" t="s">
        <v>2369</v>
      </c>
      <c r="P164" s="41" t="s">
        <v>3148</v>
      </c>
      <c r="Q164" s="42" t="s">
        <v>1341</v>
      </c>
      <c r="V164" s="43">
        <v>1527</v>
      </c>
      <c r="W164" s="45" t="s">
        <v>1663</v>
      </c>
      <c r="X164" s="45" t="s">
        <v>1174</v>
      </c>
      <c r="Y164" s="45" t="s">
        <v>1664</v>
      </c>
      <c r="Z164" s="45" t="s">
        <v>96</v>
      </c>
      <c r="AA164" s="45" t="s">
        <v>509</v>
      </c>
      <c r="AB164" s="44" t="s">
        <v>1343</v>
      </c>
      <c r="AD164" s="46" t="s">
        <v>979</v>
      </c>
      <c r="AE164" s="47" t="s">
        <v>767</v>
      </c>
    </row>
    <row r="165" spans="11:31" ht="17.25" customHeight="1" x14ac:dyDescent="0.25">
      <c r="K165" s="40" t="s">
        <v>154</v>
      </c>
      <c r="L165" s="41" t="s">
        <v>2527</v>
      </c>
      <c r="M165" s="41" t="s">
        <v>546</v>
      </c>
      <c r="N165" s="41" t="s">
        <v>3141</v>
      </c>
      <c r="O165" s="41" t="s">
        <v>2369</v>
      </c>
      <c r="P165" s="41" t="s">
        <v>3140</v>
      </c>
      <c r="Q165" s="42" t="s">
        <v>1341</v>
      </c>
      <c r="V165" s="43">
        <v>2438</v>
      </c>
      <c r="W165" s="45" t="s">
        <v>1665</v>
      </c>
      <c r="X165" s="45" t="s">
        <v>906</v>
      </c>
      <c r="Y165" s="45" t="s">
        <v>1666</v>
      </c>
      <c r="Z165" s="45" t="s">
        <v>110</v>
      </c>
      <c r="AA165" s="45" t="s">
        <v>507</v>
      </c>
      <c r="AB165" s="44" t="s">
        <v>15</v>
      </c>
      <c r="AD165" s="46" t="s">
        <v>980</v>
      </c>
      <c r="AE165" s="47" t="s">
        <v>767</v>
      </c>
    </row>
    <row r="166" spans="11:31" ht="17.25" customHeight="1" x14ac:dyDescent="0.25">
      <c r="K166" s="40" t="s">
        <v>362</v>
      </c>
      <c r="L166" s="41" t="s">
        <v>2528</v>
      </c>
      <c r="M166" s="41" t="s">
        <v>503</v>
      </c>
      <c r="N166" s="41" t="s">
        <v>3141</v>
      </c>
      <c r="O166" s="41" t="s">
        <v>2369</v>
      </c>
      <c r="P166" s="41" t="s">
        <v>3140</v>
      </c>
      <c r="Q166" s="42" t="s">
        <v>1341</v>
      </c>
      <c r="V166" s="43">
        <v>1400</v>
      </c>
      <c r="W166" s="45" t="s">
        <v>1667</v>
      </c>
      <c r="X166" s="45" t="s">
        <v>1668</v>
      </c>
      <c r="Y166" s="45" t="s">
        <v>1669</v>
      </c>
      <c r="Z166" s="45" t="s">
        <v>110</v>
      </c>
      <c r="AA166" s="45" t="s">
        <v>507</v>
      </c>
      <c r="AB166" s="44" t="s">
        <v>15</v>
      </c>
      <c r="AD166" s="46" t="s">
        <v>981</v>
      </c>
      <c r="AE166" s="47" t="s">
        <v>767</v>
      </c>
    </row>
    <row r="167" spans="11:31" ht="17.25" customHeight="1" x14ac:dyDescent="0.25">
      <c r="K167" s="40" t="s">
        <v>355</v>
      </c>
      <c r="L167" s="41" t="s">
        <v>2529</v>
      </c>
      <c r="M167" s="41" t="s">
        <v>547</v>
      </c>
      <c r="N167" s="41" t="s">
        <v>3139</v>
      </c>
      <c r="O167" s="41" t="s">
        <v>2369</v>
      </c>
      <c r="P167" s="41" t="s">
        <v>3140</v>
      </c>
      <c r="Q167" s="42" t="s">
        <v>1341</v>
      </c>
      <c r="V167" s="43">
        <v>1482</v>
      </c>
      <c r="W167" s="45" t="s">
        <v>1670</v>
      </c>
      <c r="X167" s="45" t="s">
        <v>982</v>
      </c>
      <c r="Y167" s="45" t="s">
        <v>2397</v>
      </c>
      <c r="Z167" s="45" t="s">
        <v>782</v>
      </c>
      <c r="AA167" s="45" t="s">
        <v>541</v>
      </c>
      <c r="AB167" s="44" t="s">
        <v>1341</v>
      </c>
      <c r="AD167" s="46" t="s">
        <v>982</v>
      </c>
      <c r="AE167" s="47" t="s">
        <v>767</v>
      </c>
    </row>
    <row r="168" spans="11:31" ht="17.25" customHeight="1" x14ac:dyDescent="0.25">
      <c r="K168" s="40" t="s">
        <v>326</v>
      </c>
      <c r="L168" s="41" t="s">
        <v>2530</v>
      </c>
      <c r="M168" s="41" t="s">
        <v>542</v>
      </c>
      <c r="N168" s="41" t="s">
        <v>3141</v>
      </c>
      <c r="O168" s="41" t="s">
        <v>2367</v>
      </c>
      <c r="P168" s="41" t="s">
        <v>3140</v>
      </c>
      <c r="Q168" s="42" t="s">
        <v>1341</v>
      </c>
      <c r="V168" s="43">
        <v>1939</v>
      </c>
      <c r="W168" s="45" t="s">
        <v>1671</v>
      </c>
      <c r="X168" s="45" t="s">
        <v>1115</v>
      </c>
      <c r="Y168" s="45" t="s">
        <v>3120</v>
      </c>
      <c r="Z168" s="45" t="s">
        <v>2335</v>
      </c>
      <c r="AA168" s="45" t="s">
        <v>539</v>
      </c>
      <c r="AB168" s="44" t="s">
        <v>1342</v>
      </c>
      <c r="AD168" s="46" t="s">
        <v>983</v>
      </c>
      <c r="AE168" s="47" t="s">
        <v>767</v>
      </c>
    </row>
    <row r="169" spans="11:31" ht="17.25" customHeight="1" x14ac:dyDescent="0.25">
      <c r="K169" s="40" t="s">
        <v>145</v>
      </c>
      <c r="L169" s="41" t="s">
        <v>2531</v>
      </c>
      <c r="M169" s="41" t="s">
        <v>503</v>
      </c>
      <c r="N169" s="41" t="s">
        <v>3141</v>
      </c>
      <c r="O169" s="41" t="s">
        <v>2369</v>
      </c>
      <c r="P169" s="41" t="s">
        <v>3140</v>
      </c>
      <c r="Q169" s="42" t="s">
        <v>1341</v>
      </c>
      <c r="V169" s="43">
        <v>1556</v>
      </c>
      <c r="W169" s="45" t="s">
        <v>1672</v>
      </c>
      <c r="X169" s="45" t="s">
        <v>1175</v>
      </c>
      <c r="Y169" s="45" t="s">
        <v>1673</v>
      </c>
      <c r="Z169" s="45" t="s">
        <v>2314</v>
      </c>
      <c r="AA169" s="45" t="s">
        <v>530</v>
      </c>
      <c r="AB169" s="44" t="s">
        <v>1343</v>
      </c>
      <c r="AD169" s="46" t="s">
        <v>984</v>
      </c>
      <c r="AE169" s="47" t="s">
        <v>767</v>
      </c>
    </row>
    <row r="170" spans="11:31" ht="17.25" customHeight="1" x14ac:dyDescent="0.25">
      <c r="K170" s="40" t="s">
        <v>171</v>
      </c>
      <c r="L170" s="41" t="s">
        <v>2532</v>
      </c>
      <c r="M170" s="41" t="s">
        <v>553</v>
      </c>
      <c r="N170" s="41" t="s">
        <v>3141</v>
      </c>
      <c r="O170" s="41" t="s">
        <v>2367</v>
      </c>
      <c r="P170" s="41" t="s">
        <v>3140</v>
      </c>
      <c r="Q170" s="42" t="s">
        <v>1341</v>
      </c>
      <c r="V170" s="43">
        <v>2275</v>
      </c>
      <c r="W170" s="45" t="s">
        <v>1674</v>
      </c>
      <c r="X170" s="45" t="s">
        <v>908</v>
      </c>
      <c r="Y170" s="45" t="s">
        <v>1675</v>
      </c>
      <c r="Z170" s="45" t="s">
        <v>120</v>
      </c>
      <c r="AA170" s="45" t="s">
        <v>507</v>
      </c>
      <c r="AB170" s="44" t="s">
        <v>15</v>
      </c>
      <c r="AD170" s="46" t="s">
        <v>985</v>
      </c>
      <c r="AE170" s="47" t="s">
        <v>767</v>
      </c>
    </row>
    <row r="171" spans="11:31" ht="17.25" customHeight="1" x14ac:dyDescent="0.25">
      <c r="K171" s="40" t="s">
        <v>330</v>
      </c>
      <c r="L171" s="41" t="s">
        <v>2533</v>
      </c>
      <c r="M171" s="41" t="s">
        <v>561</v>
      </c>
      <c r="N171" s="41" t="s">
        <v>3141</v>
      </c>
      <c r="O171" s="41" t="s">
        <v>2367</v>
      </c>
      <c r="P171" s="41" t="s">
        <v>3140</v>
      </c>
      <c r="Q171" s="42" t="s">
        <v>1341</v>
      </c>
      <c r="V171" s="43">
        <v>1340</v>
      </c>
      <c r="W171" s="45" t="s">
        <v>1676</v>
      </c>
      <c r="X171" s="45" t="s">
        <v>909</v>
      </c>
      <c r="Y171" s="45" t="s">
        <v>1677</v>
      </c>
      <c r="Z171" s="45" t="s">
        <v>120</v>
      </c>
      <c r="AA171" s="45" t="s">
        <v>507</v>
      </c>
      <c r="AB171" s="44" t="s">
        <v>15</v>
      </c>
      <c r="AD171" s="46" t="s">
        <v>986</v>
      </c>
      <c r="AE171" s="47" t="s">
        <v>767</v>
      </c>
    </row>
    <row r="172" spans="11:31" ht="17.25" customHeight="1" x14ac:dyDescent="0.25">
      <c r="K172" s="40" t="s">
        <v>13</v>
      </c>
      <c r="L172" s="41" t="s">
        <v>2534</v>
      </c>
      <c r="M172" s="41" t="s">
        <v>549</v>
      </c>
      <c r="N172" s="41" t="s">
        <v>3141</v>
      </c>
      <c r="O172" s="41" t="s">
        <v>2367</v>
      </c>
      <c r="P172" s="41" t="s">
        <v>3140</v>
      </c>
      <c r="Q172" s="42" t="s">
        <v>1341</v>
      </c>
      <c r="V172" s="43">
        <v>1267</v>
      </c>
      <c r="W172" s="45" t="s">
        <v>1678</v>
      </c>
      <c r="X172" s="45" t="s">
        <v>907</v>
      </c>
      <c r="Y172" s="45" t="s">
        <v>3103</v>
      </c>
      <c r="Z172" s="45" t="s">
        <v>124</v>
      </c>
      <c r="AA172" s="45" t="s">
        <v>507</v>
      </c>
      <c r="AB172" s="44" t="s">
        <v>15</v>
      </c>
      <c r="AD172" s="46" t="s">
        <v>987</v>
      </c>
      <c r="AE172" s="47" t="s">
        <v>767</v>
      </c>
    </row>
    <row r="173" spans="11:31" ht="17.25" customHeight="1" x14ac:dyDescent="0.25">
      <c r="K173" s="40" t="s">
        <v>21</v>
      </c>
      <c r="L173" s="41" t="s">
        <v>2535</v>
      </c>
      <c r="M173" s="41" t="s">
        <v>549</v>
      </c>
      <c r="N173" s="41" t="s">
        <v>3141</v>
      </c>
      <c r="O173" s="41" t="s">
        <v>2367</v>
      </c>
      <c r="P173" s="41" t="s">
        <v>3140</v>
      </c>
      <c r="Q173" s="42" t="s">
        <v>1341</v>
      </c>
      <c r="V173" s="43">
        <v>1339</v>
      </c>
      <c r="W173" s="45" t="s">
        <v>1679</v>
      </c>
      <c r="X173" s="45" t="s">
        <v>910</v>
      </c>
      <c r="Y173" s="45" t="s">
        <v>3329</v>
      </c>
      <c r="Z173" s="45" t="s">
        <v>117</v>
      </c>
      <c r="AA173" s="45" t="s">
        <v>507</v>
      </c>
      <c r="AB173" s="44" t="s">
        <v>15</v>
      </c>
      <c r="AD173" s="46" t="s">
        <v>988</v>
      </c>
      <c r="AE173" s="47" t="s">
        <v>767</v>
      </c>
    </row>
    <row r="174" spans="11:31" ht="17.25" customHeight="1" x14ac:dyDescent="0.25">
      <c r="K174" s="40" t="s">
        <v>1305</v>
      </c>
      <c r="L174" s="41" t="s">
        <v>2536</v>
      </c>
      <c r="M174" s="41" t="s">
        <v>550</v>
      </c>
      <c r="N174" s="41" t="s">
        <v>3141</v>
      </c>
      <c r="O174" s="41" t="s">
        <v>2369</v>
      </c>
      <c r="P174" s="41" t="s">
        <v>3140</v>
      </c>
      <c r="Q174" s="42" t="s">
        <v>1341</v>
      </c>
      <c r="V174" s="43">
        <v>1457</v>
      </c>
      <c r="W174" s="45" t="s">
        <v>1680</v>
      </c>
      <c r="X174" s="45" t="s">
        <v>911</v>
      </c>
      <c r="Y174" s="45" t="s">
        <v>1681</v>
      </c>
      <c r="Z174" s="45" t="s">
        <v>117</v>
      </c>
      <c r="AA174" s="45" t="s">
        <v>507</v>
      </c>
      <c r="AB174" s="44" t="s">
        <v>15</v>
      </c>
      <c r="AD174" s="46" t="s">
        <v>989</v>
      </c>
      <c r="AE174" s="47" t="s">
        <v>767</v>
      </c>
    </row>
    <row r="175" spans="11:31" ht="17.25" customHeight="1" x14ac:dyDescent="0.25">
      <c r="K175" s="40" t="s">
        <v>412</v>
      </c>
      <c r="L175" s="41" t="s">
        <v>2537</v>
      </c>
      <c r="M175" s="41" t="s">
        <v>554</v>
      </c>
      <c r="N175" s="41" t="s">
        <v>3141</v>
      </c>
      <c r="O175" s="41" t="s">
        <v>2369</v>
      </c>
      <c r="P175" s="41" t="s">
        <v>3140</v>
      </c>
      <c r="Q175" s="42" t="s">
        <v>1341</v>
      </c>
      <c r="V175" s="43">
        <v>1202</v>
      </c>
      <c r="W175" s="45" t="s">
        <v>1682</v>
      </c>
      <c r="X175" s="45" t="s">
        <v>1176</v>
      </c>
      <c r="Y175" s="45" t="s">
        <v>1683</v>
      </c>
      <c r="Z175" s="45" t="s">
        <v>53</v>
      </c>
      <c r="AA175" s="45" t="s">
        <v>534</v>
      </c>
      <c r="AB175" s="44" t="s">
        <v>1343</v>
      </c>
      <c r="AD175" s="46" t="s">
        <v>990</v>
      </c>
      <c r="AE175" s="47" t="s">
        <v>767</v>
      </c>
    </row>
    <row r="176" spans="11:31" ht="17.25" customHeight="1" x14ac:dyDescent="0.25">
      <c r="K176" s="40" t="s">
        <v>167</v>
      </c>
      <c r="L176" s="41" t="s">
        <v>2538</v>
      </c>
      <c r="M176" s="41" t="s">
        <v>550</v>
      </c>
      <c r="N176" s="41" t="s">
        <v>3141</v>
      </c>
      <c r="O176" s="41" t="s">
        <v>2369</v>
      </c>
      <c r="P176" s="41" t="s">
        <v>3140</v>
      </c>
      <c r="Q176" s="42" t="s">
        <v>1341</v>
      </c>
      <c r="V176" s="43">
        <v>1446</v>
      </c>
      <c r="W176" s="45" t="s">
        <v>1684</v>
      </c>
      <c r="X176" s="45" t="s">
        <v>1685</v>
      </c>
      <c r="Y176" s="45" t="s">
        <v>1686</v>
      </c>
      <c r="Z176" s="45" t="s">
        <v>461</v>
      </c>
      <c r="AA176" s="45" t="s">
        <v>544</v>
      </c>
      <c r="AB176" s="44" t="s">
        <v>1341</v>
      </c>
      <c r="AD176" s="46" t="s">
        <v>991</v>
      </c>
      <c r="AE176" s="47" t="s">
        <v>767</v>
      </c>
    </row>
    <row r="177" spans="11:31" ht="17.25" customHeight="1" x14ac:dyDescent="0.25">
      <c r="K177" s="40" t="s">
        <v>161</v>
      </c>
      <c r="L177" s="41" t="s">
        <v>2539</v>
      </c>
      <c r="M177" s="41" t="s">
        <v>558</v>
      </c>
      <c r="N177" s="41" t="s">
        <v>3141</v>
      </c>
      <c r="O177" s="41" t="s">
        <v>2367</v>
      </c>
      <c r="P177" s="41" t="s">
        <v>3140</v>
      </c>
      <c r="Q177" s="42" t="s">
        <v>1341</v>
      </c>
      <c r="V177" s="43">
        <v>1383</v>
      </c>
      <c r="W177" s="45" t="s">
        <v>1687</v>
      </c>
      <c r="X177" s="45" t="s">
        <v>984</v>
      </c>
      <c r="Y177" s="45" t="s">
        <v>1688</v>
      </c>
      <c r="Z177" s="45" t="s">
        <v>453</v>
      </c>
      <c r="AA177" s="45" t="s">
        <v>554</v>
      </c>
      <c r="AB177" s="44" t="s">
        <v>1341</v>
      </c>
      <c r="AD177" s="46" t="s">
        <v>992</v>
      </c>
      <c r="AE177" s="47" t="s">
        <v>767</v>
      </c>
    </row>
    <row r="178" spans="11:31" ht="17.25" customHeight="1" x14ac:dyDescent="0.25">
      <c r="K178" s="40" t="s">
        <v>448</v>
      </c>
      <c r="L178" s="41" t="s">
        <v>2540</v>
      </c>
      <c r="M178" s="41" t="s">
        <v>543</v>
      </c>
      <c r="N178" s="41" t="s">
        <v>3141</v>
      </c>
      <c r="O178" s="41" t="s">
        <v>2367</v>
      </c>
      <c r="P178" s="41" t="s">
        <v>3140</v>
      </c>
      <c r="Q178" s="42" t="s">
        <v>1341</v>
      </c>
      <c r="V178" s="43">
        <v>1271</v>
      </c>
      <c r="W178" s="45" t="s">
        <v>1689</v>
      </c>
      <c r="X178" s="45" t="s">
        <v>912</v>
      </c>
      <c r="Y178" s="45" t="s">
        <v>1690</v>
      </c>
      <c r="Z178" s="45" t="s">
        <v>126</v>
      </c>
      <c r="AA178" s="45" t="s">
        <v>507</v>
      </c>
      <c r="AB178" s="44" t="s">
        <v>15</v>
      </c>
      <c r="AD178" s="46" t="s">
        <v>993</v>
      </c>
      <c r="AE178" s="47" t="s">
        <v>767</v>
      </c>
    </row>
    <row r="179" spans="11:31" ht="17.25" customHeight="1" x14ac:dyDescent="0.25">
      <c r="K179" s="40" t="s">
        <v>402</v>
      </c>
      <c r="L179" s="41" t="s">
        <v>2541</v>
      </c>
      <c r="M179" s="41" t="s">
        <v>561</v>
      </c>
      <c r="N179" s="41" t="s">
        <v>3141</v>
      </c>
      <c r="O179" s="41" t="s">
        <v>2367</v>
      </c>
      <c r="P179" s="41" t="s">
        <v>3140</v>
      </c>
      <c r="Q179" s="42" t="s">
        <v>1341</v>
      </c>
      <c r="V179" s="43">
        <v>1172</v>
      </c>
      <c r="W179" s="45" t="s">
        <v>1691</v>
      </c>
      <c r="X179" s="45" t="s">
        <v>985</v>
      </c>
      <c r="Y179" s="45" t="s">
        <v>3315</v>
      </c>
      <c r="Z179" s="45" t="s">
        <v>58</v>
      </c>
      <c r="AA179" s="45" t="s">
        <v>502</v>
      </c>
      <c r="AB179" s="44" t="s">
        <v>1341</v>
      </c>
      <c r="AD179" s="46" t="s">
        <v>994</v>
      </c>
      <c r="AE179" s="47" t="s">
        <v>767</v>
      </c>
    </row>
    <row r="180" spans="11:31" ht="17.25" customHeight="1" x14ac:dyDescent="0.25">
      <c r="K180" s="40" t="s">
        <v>386</v>
      </c>
      <c r="L180" s="41" t="s">
        <v>2542</v>
      </c>
      <c r="M180" s="41" t="s">
        <v>558</v>
      </c>
      <c r="N180" s="41" t="s">
        <v>3141</v>
      </c>
      <c r="O180" s="41" t="s">
        <v>2367</v>
      </c>
      <c r="P180" s="41" t="s">
        <v>3140</v>
      </c>
      <c r="Q180" s="42" t="s">
        <v>1341</v>
      </c>
      <c r="V180" s="43">
        <v>2434</v>
      </c>
      <c r="W180" s="45" t="s">
        <v>1692</v>
      </c>
      <c r="X180" s="45" t="s">
        <v>986</v>
      </c>
      <c r="Y180" s="45" t="s">
        <v>1693</v>
      </c>
      <c r="Z180" s="45" t="s">
        <v>58</v>
      </c>
      <c r="AA180" s="45" t="s">
        <v>502</v>
      </c>
      <c r="AB180" s="44" t="s">
        <v>1341</v>
      </c>
      <c r="AD180" s="46" t="s">
        <v>995</v>
      </c>
      <c r="AE180" s="47" t="s">
        <v>767</v>
      </c>
    </row>
    <row r="181" spans="11:31" ht="17.25" customHeight="1" x14ac:dyDescent="0.25">
      <c r="K181" s="40" t="s">
        <v>369</v>
      </c>
      <c r="L181" s="41" t="s">
        <v>2543</v>
      </c>
      <c r="M181" s="41" t="s">
        <v>543</v>
      </c>
      <c r="N181" s="41" t="s">
        <v>3141</v>
      </c>
      <c r="O181" s="41" t="s">
        <v>2367</v>
      </c>
      <c r="P181" s="41" t="s">
        <v>3140</v>
      </c>
      <c r="Q181" s="42" t="s">
        <v>1341</v>
      </c>
      <c r="V181" s="43">
        <v>1566</v>
      </c>
      <c r="W181" s="45" t="s">
        <v>1694</v>
      </c>
      <c r="X181" s="45" t="s">
        <v>987</v>
      </c>
      <c r="Y181" s="45" t="s">
        <v>1695</v>
      </c>
      <c r="Z181" s="45" t="s">
        <v>2337</v>
      </c>
      <c r="AA181" s="45" t="s">
        <v>502</v>
      </c>
      <c r="AB181" s="44" t="s">
        <v>1341</v>
      </c>
      <c r="AD181" s="46" t="s">
        <v>996</v>
      </c>
      <c r="AE181" s="47" t="s">
        <v>767</v>
      </c>
    </row>
    <row r="182" spans="11:31" ht="17.25" customHeight="1" x14ac:dyDescent="0.25">
      <c r="K182" s="40" t="s">
        <v>356</v>
      </c>
      <c r="L182" s="41" t="s">
        <v>2544</v>
      </c>
      <c r="M182" s="41" t="s">
        <v>563</v>
      </c>
      <c r="N182" s="41" t="s">
        <v>3139</v>
      </c>
      <c r="O182" s="41" t="s">
        <v>2367</v>
      </c>
      <c r="P182" s="41" t="s">
        <v>3140</v>
      </c>
      <c r="Q182" s="42" t="s">
        <v>1341</v>
      </c>
      <c r="V182" s="43">
        <v>1073</v>
      </c>
      <c r="W182" s="45" t="s">
        <v>1696</v>
      </c>
      <c r="X182" s="45" t="s">
        <v>988</v>
      </c>
      <c r="Y182" s="45" t="s">
        <v>1697</v>
      </c>
      <c r="Z182" s="45" t="s">
        <v>75</v>
      </c>
      <c r="AA182" s="45" t="s">
        <v>557</v>
      </c>
      <c r="AB182" s="44" t="s">
        <v>1341</v>
      </c>
      <c r="AD182" s="46" t="s">
        <v>997</v>
      </c>
      <c r="AE182" s="47" t="s">
        <v>767</v>
      </c>
    </row>
    <row r="183" spans="11:31" ht="17.25" customHeight="1" x14ac:dyDescent="0.25">
      <c r="K183" s="40" t="s">
        <v>365</v>
      </c>
      <c r="L183" s="41" t="s">
        <v>2523</v>
      </c>
      <c r="M183" s="41" t="s">
        <v>564</v>
      </c>
      <c r="N183" s="41" t="s">
        <v>3141</v>
      </c>
      <c r="O183" s="41" t="s">
        <v>2367</v>
      </c>
      <c r="P183" s="41" t="s">
        <v>3140</v>
      </c>
      <c r="Q183" s="42" t="s">
        <v>1341</v>
      </c>
      <c r="V183" s="43">
        <v>1514</v>
      </c>
      <c r="W183" s="45" t="s">
        <v>1698</v>
      </c>
      <c r="X183" s="45" t="s">
        <v>989</v>
      </c>
      <c r="Y183" s="45" t="s">
        <v>1699</v>
      </c>
      <c r="Z183" s="45" t="s">
        <v>145</v>
      </c>
      <c r="AA183" s="45" t="s">
        <v>503</v>
      </c>
      <c r="AB183" s="44" t="s">
        <v>1341</v>
      </c>
      <c r="AD183" s="46" t="s">
        <v>998</v>
      </c>
      <c r="AE183" s="47" t="s">
        <v>767</v>
      </c>
    </row>
    <row r="184" spans="11:31" ht="17.25" customHeight="1" x14ac:dyDescent="0.25">
      <c r="K184" s="40" t="s">
        <v>482</v>
      </c>
      <c r="L184" s="41" t="s">
        <v>2545</v>
      </c>
      <c r="M184" s="41" t="s">
        <v>560</v>
      </c>
      <c r="N184" s="41" t="s">
        <v>3141</v>
      </c>
      <c r="O184" s="41" t="s">
        <v>2369</v>
      </c>
      <c r="P184" s="41" t="s">
        <v>3148</v>
      </c>
      <c r="Q184" s="42" t="s">
        <v>1341</v>
      </c>
      <c r="V184" s="43">
        <v>1621</v>
      </c>
      <c r="W184" s="45" t="s">
        <v>1700</v>
      </c>
      <c r="X184" s="45" t="s">
        <v>848</v>
      </c>
      <c r="Y184" s="45" t="s">
        <v>1701</v>
      </c>
      <c r="Z184" s="45" t="s">
        <v>27</v>
      </c>
      <c r="AA184" s="45" t="s">
        <v>500</v>
      </c>
      <c r="AB184" s="44" t="s">
        <v>500</v>
      </c>
      <c r="AD184" s="46" t="s">
        <v>999</v>
      </c>
      <c r="AE184" s="47" t="s">
        <v>767</v>
      </c>
    </row>
    <row r="185" spans="11:31" ht="17.25" customHeight="1" x14ac:dyDescent="0.25">
      <c r="K185" s="40" t="s">
        <v>350</v>
      </c>
      <c r="L185" s="41" t="s">
        <v>2523</v>
      </c>
      <c r="M185" s="41" t="s">
        <v>561</v>
      </c>
      <c r="N185" s="41" t="s">
        <v>3141</v>
      </c>
      <c r="O185" s="41" t="s">
        <v>2367</v>
      </c>
      <c r="P185" s="41" t="s">
        <v>3140</v>
      </c>
      <c r="Q185" s="42" t="s">
        <v>1341</v>
      </c>
      <c r="V185" s="43">
        <v>2435</v>
      </c>
      <c r="W185" s="45" t="s">
        <v>1702</v>
      </c>
      <c r="X185" s="45" t="s">
        <v>914</v>
      </c>
      <c r="Y185" s="45" t="s">
        <v>1703</v>
      </c>
      <c r="Z185" s="45" t="s">
        <v>110</v>
      </c>
      <c r="AA185" s="45" t="s">
        <v>507</v>
      </c>
      <c r="AB185" s="44" t="s">
        <v>15</v>
      </c>
      <c r="AD185" s="46" t="s">
        <v>1000</v>
      </c>
      <c r="AE185" s="47" t="s">
        <v>767</v>
      </c>
    </row>
    <row r="186" spans="11:31" ht="17.25" customHeight="1" x14ac:dyDescent="0.25">
      <c r="K186" s="40" t="s">
        <v>414</v>
      </c>
      <c r="L186" s="41" t="s">
        <v>2546</v>
      </c>
      <c r="M186" s="41" t="s">
        <v>545</v>
      </c>
      <c r="N186" s="41" t="s">
        <v>3141</v>
      </c>
      <c r="O186" s="41" t="s">
        <v>2369</v>
      </c>
      <c r="P186" s="41" t="s">
        <v>3148</v>
      </c>
      <c r="Q186" s="42" t="s">
        <v>1341</v>
      </c>
      <c r="V186" s="43">
        <v>2436</v>
      </c>
      <c r="W186" s="45" t="s">
        <v>1704</v>
      </c>
      <c r="X186" s="45" t="s">
        <v>915</v>
      </c>
      <c r="Y186" s="45" t="s">
        <v>1705</v>
      </c>
      <c r="Z186" s="45" t="s">
        <v>110</v>
      </c>
      <c r="AA186" s="45" t="s">
        <v>507</v>
      </c>
      <c r="AB186" s="44" t="s">
        <v>15</v>
      </c>
      <c r="AD186" s="46" t="s">
        <v>1001</v>
      </c>
      <c r="AE186" s="47" t="s">
        <v>767</v>
      </c>
    </row>
    <row r="187" spans="11:31" ht="17.25" customHeight="1" x14ac:dyDescent="0.25">
      <c r="K187" s="40" t="s">
        <v>358</v>
      </c>
      <c r="L187" s="41" t="s">
        <v>2523</v>
      </c>
      <c r="M187" s="41" t="s">
        <v>558</v>
      </c>
      <c r="N187" s="41" t="s">
        <v>3141</v>
      </c>
      <c r="O187" s="41" t="s">
        <v>2367</v>
      </c>
      <c r="P187" s="41" t="s">
        <v>3140</v>
      </c>
      <c r="Q187" s="42" t="s">
        <v>1341</v>
      </c>
      <c r="V187" s="43">
        <v>1322</v>
      </c>
      <c r="W187" s="45" t="s">
        <v>1706</v>
      </c>
      <c r="X187" s="45" t="s">
        <v>916</v>
      </c>
      <c r="Y187" s="45" t="s">
        <v>1707</v>
      </c>
      <c r="Z187" s="45" t="s">
        <v>110</v>
      </c>
      <c r="AA187" s="45" t="s">
        <v>507</v>
      </c>
      <c r="AB187" s="44" t="s">
        <v>15</v>
      </c>
      <c r="AD187" s="46" t="s">
        <v>1002</v>
      </c>
      <c r="AE187" s="47" t="s">
        <v>767</v>
      </c>
    </row>
    <row r="188" spans="11:31" ht="17.25" customHeight="1" x14ac:dyDescent="0.25">
      <c r="K188" s="40" t="s">
        <v>149</v>
      </c>
      <c r="L188" s="41" t="s">
        <v>2547</v>
      </c>
      <c r="M188" s="41" t="s">
        <v>565</v>
      </c>
      <c r="N188" s="41" t="s">
        <v>3141</v>
      </c>
      <c r="O188" s="41" t="s">
        <v>2367</v>
      </c>
      <c r="P188" s="41" t="s">
        <v>3140</v>
      </c>
      <c r="Q188" s="42" t="s">
        <v>1341</v>
      </c>
      <c r="V188" s="43">
        <v>1563</v>
      </c>
      <c r="W188" s="45" t="s">
        <v>1708</v>
      </c>
      <c r="X188" s="45" t="s">
        <v>1177</v>
      </c>
      <c r="Y188" s="45" t="s">
        <v>1709</v>
      </c>
      <c r="Z188" s="45" t="s">
        <v>38</v>
      </c>
      <c r="AA188" s="45" t="s">
        <v>531</v>
      </c>
      <c r="AB188" s="44" t="s">
        <v>1343</v>
      </c>
      <c r="AD188" s="46" t="s">
        <v>1003</v>
      </c>
      <c r="AE188" s="47" t="s">
        <v>767</v>
      </c>
    </row>
    <row r="189" spans="11:31" ht="17.25" customHeight="1" x14ac:dyDescent="0.25">
      <c r="K189" s="40" t="s">
        <v>370</v>
      </c>
      <c r="L189" s="41" t="s">
        <v>2548</v>
      </c>
      <c r="M189" s="41" t="s">
        <v>543</v>
      </c>
      <c r="N189" s="41" t="s">
        <v>3141</v>
      </c>
      <c r="O189" s="41" t="s">
        <v>2367</v>
      </c>
      <c r="P189" s="41" t="s">
        <v>3140</v>
      </c>
      <c r="Q189" s="42" t="s">
        <v>1341</v>
      </c>
      <c r="V189" s="43">
        <v>1703</v>
      </c>
      <c r="W189" s="45" t="s">
        <v>1710</v>
      </c>
      <c r="X189" s="45" t="s">
        <v>917</v>
      </c>
      <c r="Y189" s="45" t="s">
        <v>1711</v>
      </c>
      <c r="Z189" s="45" t="s">
        <v>23</v>
      </c>
      <c r="AA189" s="45" t="s">
        <v>507</v>
      </c>
      <c r="AB189" s="44" t="s">
        <v>15</v>
      </c>
      <c r="AD189" s="46" t="s">
        <v>1004</v>
      </c>
      <c r="AE189" s="47" t="s">
        <v>767</v>
      </c>
    </row>
    <row r="190" spans="11:31" ht="17.25" customHeight="1" x14ac:dyDescent="0.25">
      <c r="K190" s="40" t="s">
        <v>333</v>
      </c>
      <c r="L190" s="41" t="s">
        <v>2549</v>
      </c>
      <c r="M190" s="41" t="s">
        <v>557</v>
      </c>
      <c r="N190" s="41" t="s">
        <v>3141</v>
      </c>
      <c r="O190" s="41" t="s">
        <v>2369</v>
      </c>
      <c r="P190" s="41" t="s">
        <v>3140</v>
      </c>
      <c r="Q190" s="42" t="s">
        <v>1341</v>
      </c>
      <c r="V190" s="43">
        <v>1553</v>
      </c>
      <c r="W190" s="45" t="s">
        <v>1712</v>
      </c>
      <c r="X190" s="45" t="s">
        <v>992</v>
      </c>
      <c r="Y190" s="45" t="s">
        <v>1713</v>
      </c>
      <c r="Z190" s="45" t="s">
        <v>36</v>
      </c>
      <c r="AA190" s="45" t="s">
        <v>550</v>
      </c>
      <c r="AB190" s="44" t="s">
        <v>1341</v>
      </c>
      <c r="AD190" s="46" t="s">
        <v>1005</v>
      </c>
      <c r="AE190" s="47" t="s">
        <v>767</v>
      </c>
    </row>
    <row r="191" spans="11:31" ht="17.25" customHeight="1" x14ac:dyDescent="0.25">
      <c r="K191" s="40" t="s">
        <v>385</v>
      </c>
      <c r="L191" s="41" t="s">
        <v>2550</v>
      </c>
      <c r="M191" s="41" t="s">
        <v>558</v>
      </c>
      <c r="N191" s="41" t="s">
        <v>3141</v>
      </c>
      <c r="O191" s="41" t="s">
        <v>2367</v>
      </c>
      <c r="P191" s="41" t="s">
        <v>3140</v>
      </c>
      <c r="Q191" s="42" t="s">
        <v>1341</v>
      </c>
      <c r="V191" s="43">
        <v>1950</v>
      </c>
      <c r="W191" s="45" t="s">
        <v>1714</v>
      </c>
      <c r="X191" s="45" t="s">
        <v>993</v>
      </c>
      <c r="Y191" s="45" t="s">
        <v>1715</v>
      </c>
      <c r="Z191" s="45" t="s">
        <v>433</v>
      </c>
      <c r="AA191" s="45" t="s">
        <v>557</v>
      </c>
      <c r="AB191" s="44" t="s">
        <v>1341</v>
      </c>
      <c r="AD191" s="46" t="s">
        <v>1006</v>
      </c>
      <c r="AE191" s="47" t="s">
        <v>767</v>
      </c>
    </row>
    <row r="192" spans="11:31" ht="17.25" customHeight="1" x14ac:dyDescent="0.25">
      <c r="K192" s="40" t="s">
        <v>404</v>
      </c>
      <c r="L192" s="41" t="s">
        <v>2551</v>
      </c>
      <c r="M192" s="41" t="s">
        <v>542</v>
      </c>
      <c r="N192" s="41" t="s">
        <v>3141</v>
      </c>
      <c r="O192" s="41" t="s">
        <v>2367</v>
      </c>
      <c r="P192" s="41" t="s">
        <v>3140</v>
      </c>
      <c r="Q192" s="42" t="s">
        <v>1341</v>
      </c>
      <c r="V192" s="43">
        <v>1182</v>
      </c>
      <c r="W192" s="45" t="s">
        <v>1716</v>
      </c>
      <c r="X192" s="45" t="s">
        <v>990</v>
      </c>
      <c r="Y192" s="45" t="s">
        <v>1717</v>
      </c>
      <c r="Z192" s="45" t="s">
        <v>56</v>
      </c>
      <c r="AA192" s="45" t="s">
        <v>558</v>
      </c>
      <c r="AB192" s="44" t="s">
        <v>1341</v>
      </c>
      <c r="AD192" s="46" t="s">
        <v>1007</v>
      </c>
      <c r="AE192" s="47" t="s">
        <v>767</v>
      </c>
    </row>
    <row r="193" spans="11:31" ht="17.25" customHeight="1" x14ac:dyDescent="0.25">
      <c r="K193" s="40" t="s">
        <v>378</v>
      </c>
      <c r="L193" s="41" t="s">
        <v>2552</v>
      </c>
      <c r="M193" s="41" t="s">
        <v>559</v>
      </c>
      <c r="N193" s="41" t="s">
        <v>3141</v>
      </c>
      <c r="O193" s="41" t="s">
        <v>2369</v>
      </c>
      <c r="P193" s="41" t="s">
        <v>3148</v>
      </c>
      <c r="Q193" s="42" t="s">
        <v>1341</v>
      </c>
      <c r="V193" s="43">
        <v>1572</v>
      </c>
      <c r="W193" s="45" t="s">
        <v>1718</v>
      </c>
      <c r="X193" s="45" t="s">
        <v>991</v>
      </c>
      <c r="Y193" s="45" t="s">
        <v>1719</v>
      </c>
      <c r="Z193" s="45" t="s">
        <v>56</v>
      </c>
      <c r="AA193" s="45" t="s">
        <v>558</v>
      </c>
      <c r="AB193" s="44" t="s">
        <v>1341</v>
      </c>
      <c r="AD193" s="46" t="s">
        <v>1008</v>
      </c>
      <c r="AE193" s="47" t="s">
        <v>767</v>
      </c>
    </row>
    <row r="194" spans="11:31" ht="17.25" customHeight="1" x14ac:dyDescent="0.25">
      <c r="K194" s="40" t="s">
        <v>380</v>
      </c>
      <c r="L194" s="41" t="s">
        <v>2553</v>
      </c>
      <c r="M194" s="41" t="s">
        <v>559</v>
      </c>
      <c r="N194" s="41" t="s">
        <v>3141</v>
      </c>
      <c r="O194" s="41" t="s">
        <v>2369</v>
      </c>
      <c r="P194" s="41" t="s">
        <v>3148</v>
      </c>
      <c r="Q194" s="42" t="s">
        <v>1341</v>
      </c>
      <c r="V194" s="43">
        <v>1305</v>
      </c>
      <c r="W194" s="45" t="s">
        <v>1720</v>
      </c>
      <c r="X194" s="45" t="s">
        <v>849</v>
      </c>
      <c r="Y194" s="45" t="s">
        <v>1721</v>
      </c>
      <c r="Z194" s="45" t="s">
        <v>28</v>
      </c>
      <c r="AA194" s="45" t="s">
        <v>500</v>
      </c>
      <c r="AB194" s="44" t="s">
        <v>500</v>
      </c>
      <c r="AD194" s="46" t="s">
        <v>1009</v>
      </c>
      <c r="AE194" s="47" t="s">
        <v>767</v>
      </c>
    </row>
    <row r="195" spans="11:31" ht="17.25" customHeight="1" x14ac:dyDescent="0.25">
      <c r="K195" s="40" t="s">
        <v>338</v>
      </c>
      <c r="L195" s="41" t="s">
        <v>2554</v>
      </c>
      <c r="M195" s="41" t="s">
        <v>555</v>
      </c>
      <c r="N195" s="41" t="s">
        <v>3141</v>
      </c>
      <c r="O195" s="41" t="s">
        <v>2367</v>
      </c>
      <c r="P195" s="41" t="s">
        <v>3140</v>
      </c>
      <c r="Q195" s="42" t="s">
        <v>1341</v>
      </c>
      <c r="V195" s="43">
        <v>1070</v>
      </c>
      <c r="W195" s="45" t="s">
        <v>1722</v>
      </c>
      <c r="X195" s="45" t="s">
        <v>994</v>
      </c>
      <c r="Y195" s="45" t="s">
        <v>1723</v>
      </c>
      <c r="Z195" s="45" t="s">
        <v>785</v>
      </c>
      <c r="AA195" s="45" t="s">
        <v>541</v>
      </c>
      <c r="AB195" s="44" t="s">
        <v>1341</v>
      </c>
      <c r="AD195" s="46" t="s">
        <v>1010</v>
      </c>
      <c r="AE195" s="47" t="s">
        <v>767</v>
      </c>
    </row>
    <row r="196" spans="11:31" ht="17.25" customHeight="1" x14ac:dyDescent="0.25">
      <c r="K196" s="40" t="s">
        <v>452</v>
      </c>
      <c r="L196" s="41" t="s">
        <v>2555</v>
      </c>
      <c r="M196" s="41" t="s">
        <v>555</v>
      </c>
      <c r="N196" s="41" t="s">
        <v>3142</v>
      </c>
      <c r="O196" s="41" t="s">
        <v>2367</v>
      </c>
      <c r="P196" s="41" t="s">
        <v>3140</v>
      </c>
      <c r="Q196" s="42" t="s">
        <v>1341</v>
      </c>
      <c r="V196" s="43">
        <v>1437</v>
      </c>
      <c r="W196" s="45" t="s">
        <v>1724</v>
      </c>
      <c r="X196" s="45" t="s">
        <v>1725</v>
      </c>
      <c r="Y196" s="45" t="s">
        <v>1726</v>
      </c>
      <c r="Z196" s="45" t="s">
        <v>331</v>
      </c>
      <c r="AA196" s="45" t="s">
        <v>503</v>
      </c>
      <c r="AB196" s="44" t="s">
        <v>1341</v>
      </c>
      <c r="AD196" s="46" t="s">
        <v>1011</v>
      </c>
      <c r="AE196" s="47" t="s">
        <v>767</v>
      </c>
    </row>
    <row r="197" spans="11:31" ht="17.25" customHeight="1" x14ac:dyDescent="0.25">
      <c r="K197" s="40" t="s">
        <v>711</v>
      </c>
      <c r="L197" s="41" t="s">
        <v>2556</v>
      </c>
      <c r="M197" s="41" t="s">
        <v>555</v>
      </c>
      <c r="N197" s="41" t="s">
        <v>3142</v>
      </c>
      <c r="O197" s="41" t="s">
        <v>2367</v>
      </c>
      <c r="P197" s="41" t="s">
        <v>3140</v>
      </c>
      <c r="Q197" s="42" t="s">
        <v>1341</v>
      </c>
      <c r="V197" s="43">
        <v>1355</v>
      </c>
      <c r="W197" s="45" t="s">
        <v>1727</v>
      </c>
      <c r="X197" s="45" t="s">
        <v>850</v>
      </c>
      <c r="Y197" s="45" t="s">
        <v>1728</v>
      </c>
      <c r="Z197" s="45" t="s">
        <v>34</v>
      </c>
      <c r="AA197" s="45" t="s">
        <v>500</v>
      </c>
      <c r="AB197" s="44" t="s">
        <v>500</v>
      </c>
      <c r="AD197" s="46" t="s">
        <v>1012</v>
      </c>
      <c r="AE197" s="47" t="s">
        <v>767</v>
      </c>
    </row>
    <row r="198" spans="11:31" ht="17.25" customHeight="1" x14ac:dyDescent="0.25">
      <c r="K198" s="40" t="s">
        <v>189</v>
      </c>
      <c r="L198" s="41" t="s">
        <v>2557</v>
      </c>
      <c r="M198" s="41" t="s">
        <v>549</v>
      </c>
      <c r="N198" s="41" t="s">
        <v>3139</v>
      </c>
      <c r="O198" s="41" t="s">
        <v>2367</v>
      </c>
      <c r="P198" s="41" t="s">
        <v>3140</v>
      </c>
      <c r="Q198" s="42" t="s">
        <v>1341</v>
      </c>
      <c r="V198" s="43">
        <v>2414</v>
      </c>
      <c r="W198" s="45" t="s">
        <v>1729</v>
      </c>
      <c r="X198" s="45" t="s">
        <v>1178</v>
      </c>
      <c r="Y198" s="45" t="s">
        <v>1730</v>
      </c>
      <c r="Z198" s="45" t="s">
        <v>2328</v>
      </c>
      <c r="AA198" s="45" t="s">
        <v>527</v>
      </c>
      <c r="AB198" s="44" t="s">
        <v>1343</v>
      </c>
      <c r="AD198" s="46" t="s">
        <v>1013</v>
      </c>
      <c r="AE198" s="47" t="s">
        <v>767</v>
      </c>
    </row>
    <row r="199" spans="11:31" ht="17.25" customHeight="1" x14ac:dyDescent="0.25">
      <c r="K199" s="40" t="s">
        <v>680</v>
      </c>
      <c r="L199" s="41" t="s">
        <v>2558</v>
      </c>
      <c r="M199" s="41" t="s">
        <v>713</v>
      </c>
      <c r="N199" s="41" t="s">
        <v>3139</v>
      </c>
      <c r="O199" s="41" t="s">
        <v>2369</v>
      </c>
      <c r="P199" s="41" t="s">
        <v>3148</v>
      </c>
      <c r="Q199" s="42" t="s">
        <v>1341</v>
      </c>
      <c r="V199" s="43">
        <v>1549</v>
      </c>
      <c r="W199" s="45" t="s">
        <v>1731</v>
      </c>
      <c r="X199" s="45" t="s">
        <v>997</v>
      </c>
      <c r="Y199" s="45" t="s">
        <v>1732</v>
      </c>
      <c r="Z199" s="45" t="s">
        <v>26</v>
      </c>
      <c r="AA199" s="45" t="s">
        <v>543</v>
      </c>
      <c r="AB199" s="44" t="s">
        <v>1341</v>
      </c>
      <c r="AD199" s="46" t="s">
        <v>1014</v>
      </c>
      <c r="AE199" s="47" t="s">
        <v>767</v>
      </c>
    </row>
    <row r="200" spans="11:31" ht="17.25" customHeight="1" x14ac:dyDescent="0.25">
      <c r="K200" s="40" t="s">
        <v>716</v>
      </c>
      <c r="L200" s="41" t="s">
        <v>2559</v>
      </c>
      <c r="M200" s="41" t="s">
        <v>559</v>
      </c>
      <c r="N200" s="41" t="s">
        <v>3139</v>
      </c>
      <c r="O200" s="41" t="s">
        <v>2369</v>
      </c>
      <c r="P200" s="41" t="s">
        <v>3148</v>
      </c>
      <c r="Q200" s="42" t="s">
        <v>1341</v>
      </c>
      <c r="V200" s="43">
        <v>1124</v>
      </c>
      <c r="W200" s="45" t="s">
        <v>1733</v>
      </c>
      <c r="X200" s="45" t="s">
        <v>1179</v>
      </c>
      <c r="Y200" s="45" t="s">
        <v>1734</v>
      </c>
      <c r="Z200" s="45" t="s">
        <v>2338</v>
      </c>
      <c r="AA200" s="45" t="s">
        <v>535</v>
      </c>
      <c r="AB200" s="44" t="s">
        <v>1343</v>
      </c>
      <c r="AD200" s="46" t="s">
        <v>1015</v>
      </c>
      <c r="AE200" s="47" t="s">
        <v>767</v>
      </c>
    </row>
    <row r="201" spans="11:31" ht="17.25" customHeight="1" x14ac:dyDescent="0.25">
      <c r="K201" s="40" t="s">
        <v>411</v>
      </c>
      <c r="L201" s="41" t="s">
        <v>2560</v>
      </c>
      <c r="M201" s="41" t="s">
        <v>563</v>
      </c>
      <c r="N201" s="41" t="s">
        <v>3139</v>
      </c>
      <c r="O201" s="41" t="s">
        <v>2367</v>
      </c>
      <c r="P201" s="41" t="s">
        <v>3140</v>
      </c>
      <c r="Q201" s="42" t="s">
        <v>1341</v>
      </c>
      <c r="V201" s="43">
        <v>1272</v>
      </c>
      <c r="W201" s="45" t="s">
        <v>1735</v>
      </c>
      <c r="X201" s="45" t="s">
        <v>851</v>
      </c>
      <c r="Y201" s="45" t="s">
        <v>1736</v>
      </c>
      <c r="Z201" s="45" t="s">
        <v>198</v>
      </c>
      <c r="AA201" s="45" t="s">
        <v>500</v>
      </c>
      <c r="AB201" s="44" t="s">
        <v>500</v>
      </c>
      <c r="AD201" s="46" t="s">
        <v>1016</v>
      </c>
      <c r="AE201" s="47" t="s">
        <v>767</v>
      </c>
    </row>
    <row r="202" spans="11:31" ht="17.25" customHeight="1" x14ac:dyDescent="0.25">
      <c r="K202" s="40" t="s">
        <v>501</v>
      </c>
      <c r="L202" s="41" t="s">
        <v>2561</v>
      </c>
      <c r="M202" s="41" t="s">
        <v>550</v>
      </c>
      <c r="N202" s="41" t="s">
        <v>3139</v>
      </c>
      <c r="O202" s="41" t="s">
        <v>2369</v>
      </c>
      <c r="P202" s="41" t="s">
        <v>3140</v>
      </c>
      <c r="Q202" s="42" t="s">
        <v>1341</v>
      </c>
      <c r="V202" s="43">
        <v>1936</v>
      </c>
      <c r="W202" s="45" t="s">
        <v>1737</v>
      </c>
      <c r="X202" s="45" t="s">
        <v>1116</v>
      </c>
      <c r="Y202" s="45" t="s">
        <v>1738</v>
      </c>
      <c r="Z202" s="45" t="s">
        <v>316</v>
      </c>
      <c r="AA202" s="45" t="s">
        <v>538</v>
      </c>
      <c r="AB202" s="44" t="s">
        <v>1342</v>
      </c>
      <c r="AD202" s="46" t="s">
        <v>1017</v>
      </c>
      <c r="AE202" s="47" t="s">
        <v>767</v>
      </c>
    </row>
    <row r="203" spans="11:31" ht="17.25" customHeight="1" x14ac:dyDescent="0.25">
      <c r="K203" s="40" t="s">
        <v>741</v>
      </c>
      <c r="L203" s="41" t="s">
        <v>2562</v>
      </c>
      <c r="M203" s="41" t="s">
        <v>559</v>
      </c>
      <c r="N203" s="41" t="s">
        <v>3141</v>
      </c>
      <c r="O203" s="41" t="s">
        <v>2369</v>
      </c>
      <c r="P203" s="41" t="s">
        <v>3148</v>
      </c>
      <c r="Q203" s="42" t="s">
        <v>1341</v>
      </c>
      <c r="V203" s="43">
        <v>2431</v>
      </c>
      <c r="W203" s="45" t="s">
        <v>1739</v>
      </c>
      <c r="X203" s="45" t="s">
        <v>998</v>
      </c>
      <c r="Y203" s="45" t="s">
        <v>1740</v>
      </c>
      <c r="Z203" s="45" t="s">
        <v>403</v>
      </c>
      <c r="AA203" s="45" t="s">
        <v>548</v>
      </c>
      <c r="AB203" s="44" t="s">
        <v>1341</v>
      </c>
      <c r="AD203" s="46" t="s">
        <v>1018</v>
      </c>
      <c r="AE203" s="47" t="s">
        <v>767</v>
      </c>
    </row>
    <row r="204" spans="11:31" ht="17.25" customHeight="1" x14ac:dyDescent="0.25">
      <c r="K204" s="40" t="s">
        <v>619</v>
      </c>
      <c r="L204" s="41" t="s">
        <v>2563</v>
      </c>
      <c r="M204" s="41" t="s">
        <v>565</v>
      </c>
      <c r="N204" s="41" t="s">
        <v>3139</v>
      </c>
      <c r="O204" s="41" t="s">
        <v>2367</v>
      </c>
      <c r="P204" s="41" t="s">
        <v>3140</v>
      </c>
      <c r="Q204" s="42" t="s">
        <v>1341</v>
      </c>
      <c r="V204" s="43">
        <v>2412</v>
      </c>
      <c r="W204" s="45" t="s">
        <v>1741</v>
      </c>
      <c r="X204" s="45" t="s">
        <v>852</v>
      </c>
      <c r="Y204" s="45" t="s">
        <v>1742</v>
      </c>
      <c r="Z204" s="45" t="s">
        <v>87</v>
      </c>
      <c r="AA204" s="45" t="s">
        <v>500</v>
      </c>
      <c r="AB204" s="44" t="s">
        <v>500</v>
      </c>
      <c r="AD204" s="46" t="s">
        <v>1019</v>
      </c>
      <c r="AE204" s="47" t="s">
        <v>767</v>
      </c>
    </row>
    <row r="205" spans="11:31" ht="17.25" customHeight="1" x14ac:dyDescent="0.25">
      <c r="K205" s="40" t="s">
        <v>468</v>
      </c>
      <c r="L205" s="41" t="s">
        <v>2564</v>
      </c>
      <c r="M205" s="41" t="s">
        <v>554</v>
      </c>
      <c r="N205" s="41" t="s">
        <v>3141</v>
      </c>
      <c r="O205" s="41" t="s">
        <v>2369</v>
      </c>
      <c r="P205" s="41" t="s">
        <v>3140</v>
      </c>
      <c r="Q205" s="42" t="s">
        <v>1341</v>
      </c>
      <c r="V205" s="43">
        <v>2413</v>
      </c>
      <c r="W205" s="45" t="s">
        <v>1743</v>
      </c>
      <c r="X205" s="45" t="s">
        <v>853</v>
      </c>
      <c r="Y205" s="45" t="s">
        <v>1744</v>
      </c>
      <c r="Z205" s="45" t="s">
        <v>87</v>
      </c>
      <c r="AA205" s="45" t="s">
        <v>500</v>
      </c>
      <c r="AB205" s="44" t="s">
        <v>500</v>
      </c>
      <c r="AD205" s="46" t="s">
        <v>1020</v>
      </c>
      <c r="AE205" s="47" t="s">
        <v>767</v>
      </c>
    </row>
    <row r="206" spans="11:31" ht="17.25" customHeight="1" x14ac:dyDescent="0.25">
      <c r="K206" s="40" t="s">
        <v>591</v>
      </c>
      <c r="L206" s="41" t="s">
        <v>2565</v>
      </c>
      <c r="M206" s="41" t="s">
        <v>565</v>
      </c>
      <c r="N206" s="41" t="s">
        <v>3141</v>
      </c>
      <c r="O206" s="41" t="s">
        <v>2367</v>
      </c>
      <c r="P206" s="41" t="s">
        <v>3140</v>
      </c>
      <c r="Q206" s="42" t="s">
        <v>1341</v>
      </c>
      <c r="V206" s="43">
        <v>1535</v>
      </c>
      <c r="W206" s="45" t="s">
        <v>1745</v>
      </c>
      <c r="X206" s="45" t="s">
        <v>1180</v>
      </c>
      <c r="Y206" s="45" t="s">
        <v>1746</v>
      </c>
      <c r="Z206" s="45" t="s">
        <v>45</v>
      </c>
      <c r="AA206" s="45" t="s">
        <v>518</v>
      </c>
      <c r="AB206" s="44" t="s">
        <v>1343</v>
      </c>
      <c r="AD206" s="46" t="s">
        <v>1021</v>
      </c>
      <c r="AE206" s="47" t="s">
        <v>767</v>
      </c>
    </row>
    <row r="207" spans="11:31" ht="17.25" customHeight="1" x14ac:dyDescent="0.25">
      <c r="K207" s="40" t="s">
        <v>712</v>
      </c>
      <c r="L207" s="41" t="s">
        <v>2523</v>
      </c>
      <c r="M207" s="41" t="s">
        <v>555</v>
      </c>
      <c r="N207" s="41" t="s">
        <v>3141</v>
      </c>
      <c r="O207" s="41" t="s">
        <v>2367</v>
      </c>
      <c r="P207" s="41" t="s">
        <v>3140</v>
      </c>
      <c r="Q207" s="42" t="s">
        <v>1341</v>
      </c>
      <c r="V207" s="43">
        <v>1521</v>
      </c>
      <c r="W207" s="45" t="s">
        <v>1747</v>
      </c>
      <c r="X207" s="45" t="s">
        <v>1181</v>
      </c>
      <c r="Y207" s="45" t="s">
        <v>1748</v>
      </c>
      <c r="Z207" s="45" t="s">
        <v>18</v>
      </c>
      <c r="AA207" s="45" t="s">
        <v>508</v>
      </c>
      <c r="AB207" s="44" t="s">
        <v>1343</v>
      </c>
      <c r="AD207" s="46" t="s">
        <v>1022</v>
      </c>
      <c r="AE207" s="47" t="s">
        <v>767</v>
      </c>
    </row>
    <row r="208" spans="11:31" ht="17.25" customHeight="1" x14ac:dyDescent="0.25">
      <c r="K208" s="40" t="s">
        <v>491</v>
      </c>
      <c r="L208" s="41" t="s">
        <v>2566</v>
      </c>
      <c r="M208" s="41" t="s">
        <v>556</v>
      </c>
      <c r="N208" s="41" t="s">
        <v>3141</v>
      </c>
      <c r="O208" s="41" t="s">
        <v>2369</v>
      </c>
      <c r="P208" s="41" t="s">
        <v>3140</v>
      </c>
      <c r="Q208" s="42" t="s">
        <v>1341</v>
      </c>
      <c r="V208" s="43">
        <v>1375</v>
      </c>
      <c r="W208" s="45" t="s">
        <v>1749</v>
      </c>
      <c r="X208" s="45" t="s">
        <v>854</v>
      </c>
      <c r="Y208" s="45" t="s">
        <v>1750</v>
      </c>
      <c r="Z208" s="45" t="s">
        <v>76</v>
      </c>
      <c r="AA208" s="45" t="s">
        <v>500</v>
      </c>
      <c r="AB208" s="44" t="s">
        <v>500</v>
      </c>
      <c r="AD208" s="46" t="s">
        <v>1023</v>
      </c>
      <c r="AE208" s="47" t="s">
        <v>767</v>
      </c>
    </row>
    <row r="209" spans="11:31" ht="17.25" customHeight="1" x14ac:dyDescent="0.25">
      <c r="K209" s="40" t="s">
        <v>426</v>
      </c>
      <c r="L209" s="41" t="s">
        <v>2567</v>
      </c>
      <c r="M209" s="41" t="s">
        <v>548</v>
      </c>
      <c r="N209" s="41" t="s">
        <v>3139</v>
      </c>
      <c r="O209" s="41" t="s">
        <v>2367</v>
      </c>
      <c r="P209" s="41" t="s">
        <v>3140</v>
      </c>
      <c r="Q209" s="42" t="s">
        <v>1341</v>
      </c>
      <c r="V209" s="43">
        <v>1330</v>
      </c>
      <c r="W209" s="45" t="s">
        <v>1751</v>
      </c>
      <c r="X209" s="45" t="s">
        <v>999</v>
      </c>
      <c r="Y209" s="45" t="s">
        <v>1752</v>
      </c>
      <c r="Z209" s="45" t="s">
        <v>481</v>
      </c>
      <c r="AA209" s="45" t="s">
        <v>502</v>
      </c>
      <c r="AB209" s="44" t="s">
        <v>1341</v>
      </c>
      <c r="AD209" s="46" t="s">
        <v>1024</v>
      </c>
      <c r="AE209" s="47" t="s">
        <v>767</v>
      </c>
    </row>
    <row r="210" spans="11:31" ht="17.25" customHeight="1" x14ac:dyDescent="0.25">
      <c r="K210" s="40" t="s">
        <v>345</v>
      </c>
      <c r="L210" s="41" t="s">
        <v>2568</v>
      </c>
      <c r="M210" s="41" t="s">
        <v>502</v>
      </c>
      <c r="N210" s="41" t="s">
        <v>3139</v>
      </c>
      <c r="O210" s="41" t="s">
        <v>2367</v>
      </c>
      <c r="P210" s="41" t="s">
        <v>3140</v>
      </c>
      <c r="Q210" s="42" t="s">
        <v>1341</v>
      </c>
      <c r="V210" s="43">
        <v>1190</v>
      </c>
      <c r="W210" s="45" t="s">
        <v>1753</v>
      </c>
      <c r="X210" s="45" t="s">
        <v>1000</v>
      </c>
      <c r="Y210" s="45" t="s">
        <v>1754</v>
      </c>
      <c r="Z210" s="45" t="s">
        <v>2339</v>
      </c>
      <c r="AA210" s="45" t="s">
        <v>713</v>
      </c>
      <c r="AB210" s="44" t="s">
        <v>1341</v>
      </c>
      <c r="AD210" s="46" t="s">
        <v>1025</v>
      </c>
      <c r="AE210" s="47" t="s">
        <v>767</v>
      </c>
    </row>
    <row r="211" spans="11:31" ht="17.25" customHeight="1" x14ac:dyDescent="0.25">
      <c r="K211" s="40" t="s">
        <v>143</v>
      </c>
      <c r="L211" s="41" t="s">
        <v>2569</v>
      </c>
      <c r="M211" s="41" t="s">
        <v>540</v>
      </c>
      <c r="N211" s="41" t="s">
        <v>3139</v>
      </c>
      <c r="O211" s="41" t="s">
        <v>2367</v>
      </c>
      <c r="P211" s="41" t="s">
        <v>3140</v>
      </c>
      <c r="Q211" s="42" t="s">
        <v>1341</v>
      </c>
      <c r="V211" s="43">
        <v>2271</v>
      </c>
      <c r="W211" s="45" t="s">
        <v>1755</v>
      </c>
      <c r="X211" s="45" t="s">
        <v>855</v>
      </c>
      <c r="Y211" s="45" t="s">
        <v>3123</v>
      </c>
      <c r="Z211" s="45" t="s">
        <v>52</v>
      </c>
      <c r="AA211" s="45" t="s">
        <v>500</v>
      </c>
      <c r="AB211" s="44" t="s">
        <v>500</v>
      </c>
      <c r="AD211" s="46" t="s">
        <v>1026</v>
      </c>
      <c r="AE211" s="47" t="s">
        <v>767</v>
      </c>
    </row>
    <row r="212" spans="11:31" ht="17.25" customHeight="1" x14ac:dyDescent="0.25">
      <c r="K212" s="40" t="s">
        <v>343</v>
      </c>
      <c r="L212" s="41" t="s">
        <v>2570</v>
      </c>
      <c r="M212" s="41" t="s">
        <v>547</v>
      </c>
      <c r="N212" s="41" t="s">
        <v>3139</v>
      </c>
      <c r="O212" s="41" t="s">
        <v>2369</v>
      </c>
      <c r="P212" s="41" t="s">
        <v>3140</v>
      </c>
      <c r="Q212" s="42" t="s">
        <v>1341</v>
      </c>
      <c r="V212" s="43">
        <v>2364</v>
      </c>
      <c r="W212" s="45" t="s">
        <v>1756</v>
      </c>
      <c r="X212" s="45" t="s">
        <v>1001</v>
      </c>
      <c r="Y212" s="45" t="s">
        <v>1757</v>
      </c>
      <c r="Z212" s="45" t="s">
        <v>343</v>
      </c>
      <c r="AA212" s="45" t="s">
        <v>547</v>
      </c>
      <c r="AB212" s="44" t="s">
        <v>1341</v>
      </c>
      <c r="AD212" s="46" t="s">
        <v>1027</v>
      </c>
      <c r="AE212" s="47" t="s">
        <v>767</v>
      </c>
    </row>
    <row r="213" spans="11:31" ht="17.25" customHeight="1" x14ac:dyDescent="0.25">
      <c r="K213" s="40" t="s">
        <v>477</v>
      </c>
      <c r="L213" s="41" t="s">
        <v>2571</v>
      </c>
      <c r="M213" s="41" t="s">
        <v>557</v>
      </c>
      <c r="N213" s="41" t="s">
        <v>3139</v>
      </c>
      <c r="O213" s="41" t="s">
        <v>2369</v>
      </c>
      <c r="P213" s="41" t="s">
        <v>3140</v>
      </c>
      <c r="Q213" s="42" t="s">
        <v>1341</v>
      </c>
      <c r="V213" s="43">
        <v>2411</v>
      </c>
      <c r="W213" s="45" t="s">
        <v>1758</v>
      </c>
      <c r="X213" s="45" t="s">
        <v>856</v>
      </c>
      <c r="Y213" s="45" t="s">
        <v>1759</v>
      </c>
      <c r="Z213" s="45" t="s">
        <v>87</v>
      </c>
      <c r="AA213" s="45" t="s">
        <v>500</v>
      </c>
      <c r="AB213" s="44" t="s">
        <v>500</v>
      </c>
      <c r="AD213" s="46" t="s">
        <v>1028</v>
      </c>
      <c r="AE213" s="47" t="s">
        <v>767</v>
      </c>
    </row>
    <row r="214" spans="11:31" ht="17.25" customHeight="1" x14ac:dyDescent="0.25">
      <c r="K214" s="40" t="s">
        <v>138</v>
      </c>
      <c r="L214" s="41" t="s">
        <v>2572</v>
      </c>
      <c r="M214" s="41" t="s">
        <v>503</v>
      </c>
      <c r="N214" s="41" t="s">
        <v>3139</v>
      </c>
      <c r="O214" s="41" t="s">
        <v>2369</v>
      </c>
      <c r="P214" s="41" t="s">
        <v>3140</v>
      </c>
      <c r="Q214" s="42" t="s">
        <v>1341</v>
      </c>
      <c r="V214" s="43">
        <v>1479</v>
      </c>
      <c r="W214" s="45" t="s">
        <v>1760</v>
      </c>
      <c r="X214" s="45" t="s">
        <v>918</v>
      </c>
      <c r="Y214" s="45" t="s">
        <v>3220</v>
      </c>
      <c r="Z214" s="45" t="s">
        <v>115</v>
      </c>
      <c r="AA214" s="45" t="s">
        <v>507</v>
      </c>
      <c r="AB214" s="44" t="s">
        <v>15</v>
      </c>
      <c r="AD214" s="46" t="s">
        <v>1029</v>
      </c>
      <c r="AE214" s="47" t="s">
        <v>767</v>
      </c>
    </row>
    <row r="215" spans="11:31" ht="17.25" customHeight="1" x14ac:dyDescent="0.25">
      <c r="K215" s="40" t="s">
        <v>334</v>
      </c>
      <c r="L215" s="41" t="s">
        <v>2573</v>
      </c>
      <c r="M215" s="41" t="s">
        <v>540</v>
      </c>
      <c r="N215" s="41" t="s">
        <v>3139</v>
      </c>
      <c r="O215" s="41" t="s">
        <v>2367</v>
      </c>
      <c r="P215" s="41" t="s">
        <v>3140</v>
      </c>
      <c r="Q215" s="42" t="s">
        <v>1341</v>
      </c>
      <c r="V215" s="43">
        <v>2424</v>
      </c>
      <c r="W215" s="45" t="s">
        <v>1761</v>
      </c>
      <c r="X215" s="45" t="s">
        <v>919</v>
      </c>
      <c r="Y215" s="45" t="s">
        <v>1762</v>
      </c>
      <c r="Z215" s="45" t="s">
        <v>115</v>
      </c>
      <c r="AA215" s="45" t="s">
        <v>507</v>
      </c>
      <c r="AB215" s="44" t="s">
        <v>15</v>
      </c>
      <c r="AD215" s="46" t="s">
        <v>1030</v>
      </c>
      <c r="AE215" s="47" t="s">
        <v>767</v>
      </c>
    </row>
    <row r="216" spans="11:31" ht="17.25" customHeight="1" x14ac:dyDescent="0.25">
      <c r="K216" s="40" t="s">
        <v>364</v>
      </c>
      <c r="L216" s="41" t="s">
        <v>2574</v>
      </c>
      <c r="M216" s="41" t="s">
        <v>540</v>
      </c>
      <c r="N216" s="41" t="s">
        <v>3139</v>
      </c>
      <c r="O216" s="41" t="s">
        <v>2367</v>
      </c>
      <c r="P216" s="41" t="s">
        <v>3140</v>
      </c>
      <c r="Q216" s="42" t="s">
        <v>1341</v>
      </c>
      <c r="V216" s="43">
        <v>1389</v>
      </c>
      <c r="W216" s="45" t="s">
        <v>1763</v>
      </c>
      <c r="X216" s="45" t="s">
        <v>920</v>
      </c>
      <c r="Y216" s="45" t="s">
        <v>1764</v>
      </c>
      <c r="Z216" s="45" t="s">
        <v>115</v>
      </c>
      <c r="AA216" s="45" t="s">
        <v>507</v>
      </c>
      <c r="AB216" s="44" t="s">
        <v>15</v>
      </c>
      <c r="AD216" s="46" t="s">
        <v>1031</v>
      </c>
      <c r="AE216" s="47" t="s">
        <v>767</v>
      </c>
    </row>
    <row r="217" spans="11:31" ht="17.25" customHeight="1" x14ac:dyDescent="0.25">
      <c r="K217" s="40" t="s">
        <v>336</v>
      </c>
      <c r="L217" s="41" t="s">
        <v>2575</v>
      </c>
      <c r="M217" s="41" t="s">
        <v>546</v>
      </c>
      <c r="N217" s="41" t="s">
        <v>3139</v>
      </c>
      <c r="O217" s="41" t="s">
        <v>2369</v>
      </c>
      <c r="P217" s="41" t="s">
        <v>3140</v>
      </c>
      <c r="Q217" s="42" t="s">
        <v>1341</v>
      </c>
      <c r="V217" s="43">
        <v>1364</v>
      </c>
      <c r="W217" s="45" t="s">
        <v>1765</v>
      </c>
      <c r="X217" s="45" t="s">
        <v>1766</v>
      </c>
      <c r="Y217" s="45" t="s">
        <v>1767</v>
      </c>
      <c r="Z217" s="45" t="s">
        <v>115</v>
      </c>
      <c r="AA217" s="45" t="s">
        <v>507</v>
      </c>
      <c r="AB217" s="44" t="s">
        <v>15</v>
      </c>
      <c r="AD217" s="46" t="s">
        <v>1032</v>
      </c>
      <c r="AE217" s="47" t="s">
        <v>767</v>
      </c>
    </row>
    <row r="218" spans="11:31" ht="17.25" customHeight="1" x14ac:dyDescent="0.25">
      <c r="K218" s="40" t="s">
        <v>1306</v>
      </c>
      <c r="L218" s="41" t="s">
        <v>2576</v>
      </c>
      <c r="M218" s="41" t="s">
        <v>546</v>
      </c>
      <c r="N218" s="41" t="s">
        <v>3141</v>
      </c>
      <c r="O218" s="41" t="s">
        <v>2369</v>
      </c>
      <c r="P218" s="41" t="s">
        <v>3140</v>
      </c>
      <c r="Q218" s="42" t="s">
        <v>1341</v>
      </c>
      <c r="V218" s="43">
        <v>1391</v>
      </c>
      <c r="W218" s="45" t="s">
        <v>1768</v>
      </c>
      <c r="X218" s="45" t="s">
        <v>1769</v>
      </c>
      <c r="Y218" s="45" t="s">
        <v>1770</v>
      </c>
      <c r="Z218" s="45" t="s">
        <v>114</v>
      </c>
      <c r="AA218" s="45" t="s">
        <v>507</v>
      </c>
      <c r="AB218" s="44" t="s">
        <v>15</v>
      </c>
      <c r="AD218" s="46" t="s">
        <v>1033</v>
      </c>
      <c r="AE218" s="47" t="s">
        <v>767</v>
      </c>
    </row>
    <row r="219" spans="11:31" ht="17.25" customHeight="1" x14ac:dyDescent="0.25">
      <c r="K219" s="40" t="s">
        <v>436</v>
      </c>
      <c r="L219" s="41" t="s">
        <v>2577</v>
      </c>
      <c r="M219" s="41" t="s">
        <v>554</v>
      </c>
      <c r="N219" s="41" t="s">
        <v>3139</v>
      </c>
      <c r="O219" s="41" t="s">
        <v>2369</v>
      </c>
      <c r="P219" s="41" t="s">
        <v>3140</v>
      </c>
      <c r="Q219" s="42" t="s">
        <v>1341</v>
      </c>
      <c r="V219" s="43">
        <v>2428</v>
      </c>
      <c r="W219" s="45" t="s">
        <v>1771</v>
      </c>
      <c r="X219" s="45" t="s">
        <v>921</v>
      </c>
      <c r="Y219" s="45" t="s">
        <v>3096</v>
      </c>
      <c r="Z219" s="45" t="s">
        <v>114</v>
      </c>
      <c r="AA219" s="45" t="s">
        <v>507</v>
      </c>
      <c r="AB219" s="44" t="s">
        <v>15</v>
      </c>
      <c r="AD219" s="46" t="s">
        <v>1034</v>
      </c>
      <c r="AE219" s="47" t="s">
        <v>767</v>
      </c>
    </row>
    <row r="220" spans="11:31" ht="17.25" customHeight="1" x14ac:dyDescent="0.25">
      <c r="K220" s="40" t="s">
        <v>453</v>
      </c>
      <c r="L220" s="41" t="s">
        <v>2578</v>
      </c>
      <c r="M220" s="41" t="s">
        <v>554</v>
      </c>
      <c r="N220" s="41" t="s">
        <v>3139</v>
      </c>
      <c r="O220" s="41" t="s">
        <v>2369</v>
      </c>
      <c r="P220" s="41" t="s">
        <v>3140</v>
      </c>
      <c r="Q220" s="42" t="s">
        <v>1341</v>
      </c>
      <c r="V220" s="43">
        <v>1370</v>
      </c>
      <c r="W220" s="45" t="s">
        <v>1772</v>
      </c>
      <c r="X220" s="45" t="s">
        <v>922</v>
      </c>
      <c r="Y220" s="45" t="s">
        <v>3312</v>
      </c>
      <c r="Z220" s="45" t="s">
        <v>126</v>
      </c>
      <c r="AA220" s="45" t="s">
        <v>507</v>
      </c>
      <c r="AB220" s="44" t="s">
        <v>15</v>
      </c>
      <c r="AD220" s="46" t="s">
        <v>1035</v>
      </c>
      <c r="AE220" s="47" t="s">
        <v>767</v>
      </c>
    </row>
    <row r="221" spans="11:31" ht="17.25" customHeight="1" x14ac:dyDescent="0.25">
      <c r="K221" s="40" t="s">
        <v>480</v>
      </c>
      <c r="L221" s="41" t="s">
        <v>2579</v>
      </c>
      <c r="M221" s="41" t="s">
        <v>551</v>
      </c>
      <c r="N221" s="41" t="s">
        <v>3139</v>
      </c>
      <c r="O221" s="41" t="s">
        <v>2369</v>
      </c>
      <c r="P221" s="41" t="s">
        <v>3140</v>
      </c>
      <c r="Q221" s="42" t="s">
        <v>1341</v>
      </c>
      <c r="V221" s="43">
        <v>1071</v>
      </c>
      <c r="W221" s="45" t="s">
        <v>1773</v>
      </c>
      <c r="X221" s="45" t="s">
        <v>1002</v>
      </c>
      <c r="Y221" s="45" t="s">
        <v>3246</v>
      </c>
      <c r="Z221" s="45" t="s">
        <v>2334</v>
      </c>
      <c r="AA221" s="45" t="s">
        <v>554</v>
      </c>
      <c r="AB221" s="44" t="s">
        <v>1341</v>
      </c>
      <c r="AD221" s="46" t="s">
        <v>1036</v>
      </c>
      <c r="AE221" s="47" t="s">
        <v>767</v>
      </c>
    </row>
    <row r="222" spans="11:31" ht="17.25" customHeight="1" x14ac:dyDescent="0.25">
      <c r="K222" s="40" t="s">
        <v>1307</v>
      </c>
      <c r="L222" s="41" t="s">
        <v>2580</v>
      </c>
      <c r="M222" s="41" t="s">
        <v>556</v>
      </c>
      <c r="N222" s="41" t="s">
        <v>3141</v>
      </c>
      <c r="O222" s="41" t="s">
        <v>2369</v>
      </c>
      <c r="P222" s="41" t="s">
        <v>3140</v>
      </c>
      <c r="Q222" s="42" t="s">
        <v>1341</v>
      </c>
      <c r="V222" s="43">
        <v>1436</v>
      </c>
      <c r="W222" s="45" t="s">
        <v>1774</v>
      </c>
      <c r="X222" s="45" t="s">
        <v>1003</v>
      </c>
      <c r="Y222" s="45" t="s">
        <v>3247</v>
      </c>
      <c r="Z222" s="45" t="s">
        <v>2334</v>
      </c>
      <c r="AA222" s="45" t="s">
        <v>554</v>
      </c>
      <c r="AB222" s="44" t="s">
        <v>1341</v>
      </c>
      <c r="AD222" s="46" t="s">
        <v>1037</v>
      </c>
      <c r="AE222" s="47" t="s">
        <v>767</v>
      </c>
    </row>
    <row r="223" spans="11:31" ht="17.25" customHeight="1" x14ac:dyDescent="0.25">
      <c r="K223" s="40" t="s">
        <v>484</v>
      </c>
      <c r="L223" s="41" t="s">
        <v>2581</v>
      </c>
      <c r="M223" s="41" t="s">
        <v>556</v>
      </c>
      <c r="N223" s="41" t="s">
        <v>3139</v>
      </c>
      <c r="O223" s="41" t="s">
        <v>2369</v>
      </c>
      <c r="P223" s="41" t="s">
        <v>3140</v>
      </c>
      <c r="Q223" s="42" t="s">
        <v>1341</v>
      </c>
      <c r="V223" s="43">
        <v>1949</v>
      </c>
      <c r="W223" s="45" t="s">
        <v>1775</v>
      </c>
      <c r="X223" s="45" t="s">
        <v>1004</v>
      </c>
      <c r="Y223" s="45" t="s">
        <v>3245</v>
      </c>
      <c r="Z223" s="45" t="s">
        <v>2334</v>
      </c>
      <c r="AA223" s="45" t="s">
        <v>554</v>
      </c>
      <c r="AB223" s="44" t="s">
        <v>1341</v>
      </c>
      <c r="AD223" s="46" t="s">
        <v>1038</v>
      </c>
      <c r="AE223" s="47" t="s">
        <v>767</v>
      </c>
    </row>
    <row r="224" spans="11:31" ht="17.25" customHeight="1" x14ac:dyDescent="0.25">
      <c r="K224" s="40" t="s">
        <v>605</v>
      </c>
      <c r="L224" s="41" t="s">
        <v>2582</v>
      </c>
      <c r="M224" s="41" t="s">
        <v>556</v>
      </c>
      <c r="N224" s="41" t="s">
        <v>3141</v>
      </c>
      <c r="O224" s="41" t="s">
        <v>2369</v>
      </c>
      <c r="P224" s="41" t="s">
        <v>3140</v>
      </c>
      <c r="Q224" s="42" t="s">
        <v>1341</v>
      </c>
      <c r="V224" s="43">
        <v>1337</v>
      </c>
      <c r="W224" s="45" t="s">
        <v>1776</v>
      </c>
      <c r="X224" s="45" t="s">
        <v>923</v>
      </c>
      <c r="Y224" s="45" t="s">
        <v>1777</v>
      </c>
      <c r="Z224" s="45" t="s">
        <v>121</v>
      </c>
      <c r="AA224" s="45" t="s">
        <v>507</v>
      </c>
      <c r="AB224" s="44" t="s">
        <v>15</v>
      </c>
      <c r="AD224" s="46" t="s">
        <v>1039</v>
      </c>
      <c r="AE224" s="47" t="s">
        <v>767</v>
      </c>
    </row>
    <row r="225" spans="11:31" ht="17.25" customHeight="1" x14ac:dyDescent="0.25">
      <c r="K225" s="40" t="s">
        <v>361</v>
      </c>
      <c r="L225" s="41" t="s">
        <v>2583</v>
      </c>
      <c r="M225" s="41" t="s">
        <v>551</v>
      </c>
      <c r="N225" s="41" t="s">
        <v>3139</v>
      </c>
      <c r="O225" s="41" t="s">
        <v>2369</v>
      </c>
      <c r="P225" s="41" t="s">
        <v>3140</v>
      </c>
      <c r="Q225" s="42" t="s">
        <v>1341</v>
      </c>
      <c r="V225" s="43">
        <v>2276</v>
      </c>
      <c r="W225" s="45" t="s">
        <v>1778</v>
      </c>
      <c r="X225" s="45" t="s">
        <v>924</v>
      </c>
      <c r="Y225" s="45" t="s">
        <v>3237</v>
      </c>
      <c r="Z225" s="45" t="s">
        <v>115</v>
      </c>
      <c r="AA225" s="45" t="s">
        <v>507</v>
      </c>
      <c r="AB225" s="44" t="s">
        <v>15</v>
      </c>
      <c r="AD225" s="46" t="s">
        <v>1040</v>
      </c>
      <c r="AE225" s="47" t="s">
        <v>767</v>
      </c>
    </row>
    <row r="226" spans="11:31" ht="17.25" customHeight="1" x14ac:dyDescent="0.25">
      <c r="K226" s="40" t="s">
        <v>409</v>
      </c>
      <c r="L226" s="41" t="s">
        <v>2584</v>
      </c>
      <c r="M226" s="41" t="s">
        <v>551</v>
      </c>
      <c r="N226" s="41" t="s">
        <v>3141</v>
      </c>
      <c r="O226" s="41" t="s">
        <v>2369</v>
      </c>
      <c r="P226" s="41" t="s">
        <v>3140</v>
      </c>
      <c r="Q226" s="42" t="s">
        <v>1341</v>
      </c>
      <c r="V226" s="43">
        <v>1483</v>
      </c>
      <c r="W226" s="45" t="s">
        <v>1779</v>
      </c>
      <c r="X226" s="45" t="s">
        <v>857</v>
      </c>
      <c r="Y226" s="45" t="s">
        <v>1780</v>
      </c>
      <c r="Z226" s="45" t="s">
        <v>87</v>
      </c>
      <c r="AA226" s="45" t="s">
        <v>500</v>
      </c>
      <c r="AB226" s="44" t="s">
        <v>500</v>
      </c>
      <c r="AD226" s="46" t="s">
        <v>1041</v>
      </c>
      <c r="AE226" s="47" t="s">
        <v>767</v>
      </c>
    </row>
    <row r="227" spans="11:31" ht="17.25" customHeight="1" x14ac:dyDescent="0.25">
      <c r="K227" s="40" t="s">
        <v>173</v>
      </c>
      <c r="L227" s="41" t="s">
        <v>2585</v>
      </c>
      <c r="M227" s="41" t="s">
        <v>557</v>
      </c>
      <c r="N227" s="41" t="s">
        <v>3139</v>
      </c>
      <c r="O227" s="41" t="s">
        <v>2369</v>
      </c>
      <c r="P227" s="41" t="s">
        <v>3140</v>
      </c>
      <c r="Q227" s="42" t="s">
        <v>1341</v>
      </c>
      <c r="V227" s="43">
        <v>1526</v>
      </c>
      <c r="W227" s="45" t="s">
        <v>1781</v>
      </c>
      <c r="X227" s="45" t="s">
        <v>1165</v>
      </c>
      <c r="Y227" s="45" t="s">
        <v>1782</v>
      </c>
      <c r="Z227" s="45" t="s">
        <v>104</v>
      </c>
      <c r="AA227" s="45" t="s">
        <v>510</v>
      </c>
      <c r="AB227" s="44" t="s">
        <v>1343</v>
      </c>
      <c r="AD227" s="46" t="s">
        <v>1042</v>
      </c>
      <c r="AE227" s="47" t="s">
        <v>767</v>
      </c>
    </row>
    <row r="228" spans="11:31" ht="17.25" customHeight="1" x14ac:dyDescent="0.25">
      <c r="K228" s="40" t="s">
        <v>566</v>
      </c>
      <c r="L228" s="41" t="s">
        <v>2586</v>
      </c>
      <c r="M228" s="41" t="s">
        <v>554</v>
      </c>
      <c r="N228" s="41" t="s">
        <v>3139</v>
      </c>
      <c r="O228" s="41" t="s">
        <v>2369</v>
      </c>
      <c r="P228" s="41" t="s">
        <v>3140</v>
      </c>
      <c r="Q228" s="42" t="s">
        <v>1341</v>
      </c>
      <c r="V228" s="43">
        <v>1945</v>
      </c>
      <c r="W228" s="45" t="s">
        <v>1783</v>
      </c>
      <c r="X228" s="45" t="s">
        <v>1005</v>
      </c>
      <c r="Y228" s="45" t="s">
        <v>3217</v>
      </c>
      <c r="Z228" s="45" t="s">
        <v>340</v>
      </c>
      <c r="AA228" s="45" t="s">
        <v>563</v>
      </c>
      <c r="AB228" s="44" t="s">
        <v>1341</v>
      </c>
      <c r="AD228" s="46" t="s">
        <v>1043</v>
      </c>
      <c r="AE228" s="47" t="s">
        <v>767</v>
      </c>
    </row>
    <row r="229" spans="11:31" ht="17.25" customHeight="1" x14ac:dyDescent="0.25">
      <c r="K229" s="40" t="s">
        <v>433</v>
      </c>
      <c r="L229" s="41" t="s">
        <v>2587</v>
      </c>
      <c r="M229" s="41" t="s">
        <v>557</v>
      </c>
      <c r="N229" s="41" t="s">
        <v>3139</v>
      </c>
      <c r="O229" s="41" t="s">
        <v>2369</v>
      </c>
      <c r="P229" s="41" t="s">
        <v>3140</v>
      </c>
      <c r="Q229" s="42" t="s">
        <v>1341</v>
      </c>
      <c r="V229" s="43">
        <v>1331</v>
      </c>
      <c r="W229" s="45" t="s">
        <v>1784</v>
      </c>
      <c r="X229" s="45" t="s">
        <v>1006</v>
      </c>
      <c r="Y229" s="45" t="s">
        <v>3225</v>
      </c>
      <c r="Z229" s="45" t="s">
        <v>393</v>
      </c>
      <c r="AA229" s="45" t="s">
        <v>563</v>
      </c>
      <c r="AB229" s="44" t="s">
        <v>1341</v>
      </c>
      <c r="AD229" s="46" t="s">
        <v>1044</v>
      </c>
      <c r="AE229" s="47" t="s">
        <v>767</v>
      </c>
    </row>
    <row r="230" spans="11:31" ht="17.25" customHeight="1" x14ac:dyDescent="0.25">
      <c r="K230" s="40" t="s">
        <v>1308</v>
      </c>
      <c r="L230" s="41" t="s">
        <v>2588</v>
      </c>
      <c r="M230" s="41" t="s">
        <v>550</v>
      </c>
      <c r="N230" s="41" t="s">
        <v>3139</v>
      </c>
      <c r="O230" s="41" t="s">
        <v>2369</v>
      </c>
      <c r="P230" s="41" t="s">
        <v>3140</v>
      </c>
      <c r="Q230" s="42" t="s">
        <v>1341</v>
      </c>
      <c r="V230" s="43">
        <v>1577</v>
      </c>
      <c r="W230" s="45" t="s">
        <v>1785</v>
      </c>
      <c r="X230" s="45" t="s">
        <v>1007</v>
      </c>
      <c r="Y230" s="45" t="s">
        <v>1786</v>
      </c>
      <c r="Z230" s="45" t="s">
        <v>2340</v>
      </c>
      <c r="AA230" s="45" t="s">
        <v>564</v>
      </c>
      <c r="AB230" s="44" t="s">
        <v>1341</v>
      </c>
      <c r="AD230" s="46" t="s">
        <v>1045</v>
      </c>
      <c r="AE230" s="47" t="s">
        <v>767</v>
      </c>
    </row>
    <row r="231" spans="11:31" ht="17.25" customHeight="1" x14ac:dyDescent="0.25">
      <c r="K231" s="40" t="s">
        <v>137</v>
      </c>
      <c r="L231" s="41" t="s">
        <v>2589</v>
      </c>
      <c r="M231" s="41" t="s">
        <v>503</v>
      </c>
      <c r="N231" s="41" t="s">
        <v>3139</v>
      </c>
      <c r="O231" s="41" t="s">
        <v>2369</v>
      </c>
      <c r="P231" s="41" t="s">
        <v>3140</v>
      </c>
      <c r="Q231" s="42" t="s">
        <v>1341</v>
      </c>
      <c r="V231" s="43">
        <v>1174</v>
      </c>
      <c r="W231" s="45" t="s">
        <v>1787</v>
      </c>
      <c r="X231" s="45" t="s">
        <v>1008</v>
      </c>
      <c r="Y231" s="45" t="s">
        <v>1788</v>
      </c>
      <c r="Z231" s="45" t="s">
        <v>41</v>
      </c>
      <c r="AA231" s="45" t="s">
        <v>548</v>
      </c>
      <c r="AB231" s="44" t="s">
        <v>1341</v>
      </c>
      <c r="AD231" s="46" t="s">
        <v>1046</v>
      </c>
      <c r="AE231" s="47" t="s">
        <v>767</v>
      </c>
    </row>
    <row r="232" spans="11:31" ht="17.25" customHeight="1" x14ac:dyDescent="0.25">
      <c r="K232" s="40" t="s">
        <v>352</v>
      </c>
      <c r="L232" s="41" t="s">
        <v>2590</v>
      </c>
      <c r="M232" s="41" t="s">
        <v>547</v>
      </c>
      <c r="N232" s="41" t="s">
        <v>3139</v>
      </c>
      <c r="O232" s="41" t="s">
        <v>2369</v>
      </c>
      <c r="P232" s="41" t="s">
        <v>3140</v>
      </c>
      <c r="Q232" s="42" t="s">
        <v>1341</v>
      </c>
      <c r="V232" s="43">
        <v>2396</v>
      </c>
      <c r="W232" s="45" t="s">
        <v>1789</v>
      </c>
      <c r="X232" s="45" t="s">
        <v>1183</v>
      </c>
      <c r="Y232" s="45" t="s">
        <v>1790</v>
      </c>
      <c r="Z232" s="45" t="s">
        <v>662</v>
      </c>
      <c r="AA232" s="45" t="s">
        <v>521</v>
      </c>
      <c r="AB232" s="44" t="s">
        <v>1343</v>
      </c>
      <c r="AD232" s="46" t="s">
        <v>1047</v>
      </c>
      <c r="AE232" s="47" t="s">
        <v>767</v>
      </c>
    </row>
    <row r="233" spans="11:31" ht="17.25" customHeight="1" x14ac:dyDescent="0.25">
      <c r="K233" s="40" t="s">
        <v>306</v>
      </c>
      <c r="L233" s="41" t="s">
        <v>2591</v>
      </c>
      <c r="M233" s="41" t="s">
        <v>545</v>
      </c>
      <c r="N233" s="41" t="s">
        <v>3139</v>
      </c>
      <c r="O233" s="41" t="s">
        <v>2369</v>
      </c>
      <c r="P233" s="41" t="s">
        <v>3148</v>
      </c>
      <c r="Q233" s="42" t="s">
        <v>1341</v>
      </c>
      <c r="V233" s="43">
        <v>1086</v>
      </c>
      <c r="W233" s="45" t="s">
        <v>1791</v>
      </c>
      <c r="X233" s="45" t="s">
        <v>1009</v>
      </c>
      <c r="Y233" s="45" t="s">
        <v>3101</v>
      </c>
      <c r="Z233" s="45" t="s">
        <v>64</v>
      </c>
      <c r="AA233" s="45" t="s">
        <v>561</v>
      </c>
      <c r="AB233" s="44" t="s">
        <v>1341</v>
      </c>
      <c r="AD233" s="46" t="s">
        <v>1048</v>
      </c>
      <c r="AE233" s="47" t="s">
        <v>767</v>
      </c>
    </row>
    <row r="234" spans="11:31" ht="17.25" customHeight="1" x14ac:dyDescent="0.25">
      <c r="K234" s="40" t="s">
        <v>368</v>
      </c>
      <c r="L234" s="41" t="s">
        <v>2592</v>
      </c>
      <c r="M234" s="41" t="s">
        <v>502</v>
      </c>
      <c r="N234" s="41" t="s">
        <v>3139</v>
      </c>
      <c r="O234" s="41" t="s">
        <v>2367</v>
      </c>
      <c r="P234" s="41" t="s">
        <v>3140</v>
      </c>
      <c r="Q234" s="42" t="s">
        <v>1341</v>
      </c>
      <c r="V234" s="43">
        <v>1362</v>
      </c>
      <c r="W234" s="45" t="s">
        <v>1792</v>
      </c>
      <c r="X234" s="45" t="s">
        <v>925</v>
      </c>
      <c r="Y234" s="45" t="s">
        <v>1793</v>
      </c>
      <c r="Z234" s="45" t="s">
        <v>116</v>
      </c>
      <c r="AA234" s="45" t="s">
        <v>507</v>
      </c>
      <c r="AB234" s="44" t="s">
        <v>15</v>
      </c>
      <c r="AD234" s="46" t="s">
        <v>1049</v>
      </c>
      <c r="AE234" s="47" t="s">
        <v>767</v>
      </c>
    </row>
    <row r="235" spans="11:31" ht="17.25" customHeight="1" x14ac:dyDescent="0.25">
      <c r="K235" s="40" t="s">
        <v>375</v>
      </c>
      <c r="L235" s="41" t="s">
        <v>2593</v>
      </c>
      <c r="M235" s="41" t="s">
        <v>546</v>
      </c>
      <c r="N235" s="41" t="s">
        <v>3139</v>
      </c>
      <c r="O235" s="41" t="s">
        <v>2369</v>
      </c>
      <c r="P235" s="41" t="s">
        <v>3140</v>
      </c>
      <c r="Q235" s="42" t="s">
        <v>1341</v>
      </c>
      <c r="V235" s="43">
        <v>1382</v>
      </c>
      <c r="W235" s="45" t="s">
        <v>1794</v>
      </c>
      <c r="X235" s="45" t="s">
        <v>1010</v>
      </c>
      <c r="Y235" s="45" t="s">
        <v>1795</v>
      </c>
      <c r="Z235" s="45" t="s">
        <v>395</v>
      </c>
      <c r="AA235" s="45" t="s">
        <v>550</v>
      </c>
      <c r="AB235" s="44" t="s">
        <v>1341</v>
      </c>
      <c r="AD235" s="46" t="s">
        <v>1050</v>
      </c>
      <c r="AE235" s="47" t="s">
        <v>767</v>
      </c>
    </row>
    <row r="236" spans="11:31" ht="17.25" customHeight="1" x14ac:dyDescent="0.25">
      <c r="K236" s="40" t="s">
        <v>1309</v>
      </c>
      <c r="L236" s="41" t="s">
        <v>2594</v>
      </c>
      <c r="M236" s="41" t="s">
        <v>550</v>
      </c>
      <c r="N236" s="41" t="s">
        <v>3139</v>
      </c>
      <c r="O236" s="41" t="s">
        <v>2369</v>
      </c>
      <c r="P236" s="41" t="s">
        <v>3140</v>
      </c>
      <c r="Q236" s="42" t="s">
        <v>1341</v>
      </c>
      <c r="V236" s="43">
        <v>2440</v>
      </c>
      <c r="W236" s="45" t="s">
        <v>1796</v>
      </c>
      <c r="X236" s="45" t="s">
        <v>1797</v>
      </c>
      <c r="Y236" s="45" t="s">
        <v>1798</v>
      </c>
      <c r="Z236" s="45" t="s">
        <v>113</v>
      </c>
      <c r="AA236" s="45" t="s">
        <v>507</v>
      </c>
      <c r="AB236" s="44" t="s">
        <v>15</v>
      </c>
      <c r="AD236" s="46" t="s">
        <v>1051</v>
      </c>
      <c r="AE236" s="47" t="s">
        <v>767</v>
      </c>
    </row>
    <row r="237" spans="11:31" ht="17.25" customHeight="1" x14ac:dyDescent="0.25">
      <c r="K237" s="40" t="s">
        <v>1310</v>
      </c>
      <c r="L237" s="41" t="s">
        <v>2595</v>
      </c>
      <c r="M237" s="41" t="s">
        <v>550</v>
      </c>
      <c r="N237" s="41" t="s">
        <v>3139</v>
      </c>
      <c r="O237" s="41" t="s">
        <v>2369</v>
      </c>
      <c r="P237" s="41" t="s">
        <v>3140</v>
      </c>
      <c r="Q237" s="42" t="s">
        <v>1341</v>
      </c>
      <c r="V237" s="43">
        <v>2358</v>
      </c>
      <c r="W237" s="45" t="s">
        <v>1799</v>
      </c>
      <c r="X237" s="45" t="s">
        <v>1800</v>
      </c>
      <c r="Y237" s="45" t="s">
        <v>3213</v>
      </c>
      <c r="Z237" s="45" t="s">
        <v>113</v>
      </c>
      <c r="AA237" s="45" t="s">
        <v>507</v>
      </c>
      <c r="AB237" s="44" t="s">
        <v>15</v>
      </c>
      <c r="AD237" s="46" t="s">
        <v>1052</v>
      </c>
      <c r="AE237" s="47" t="s">
        <v>767</v>
      </c>
    </row>
    <row r="238" spans="11:31" ht="17.25" customHeight="1" x14ac:dyDescent="0.25">
      <c r="K238" s="40" t="s">
        <v>1311</v>
      </c>
      <c r="L238" s="41" t="s">
        <v>2596</v>
      </c>
      <c r="M238" s="41" t="s">
        <v>550</v>
      </c>
      <c r="N238" s="41" t="s">
        <v>3139</v>
      </c>
      <c r="O238" s="41" t="s">
        <v>2369</v>
      </c>
      <c r="P238" s="41" t="s">
        <v>3140</v>
      </c>
      <c r="Q238" s="42" t="s">
        <v>1341</v>
      </c>
      <c r="V238" s="43">
        <v>1329</v>
      </c>
      <c r="W238" s="45" t="s">
        <v>1801</v>
      </c>
      <c r="X238" s="45" t="s">
        <v>1802</v>
      </c>
      <c r="Y238" s="45" t="s">
        <v>1803</v>
      </c>
      <c r="Z238" s="45" t="s">
        <v>113</v>
      </c>
      <c r="AA238" s="45" t="s">
        <v>507</v>
      </c>
      <c r="AB238" s="44" t="s">
        <v>15</v>
      </c>
      <c r="AD238" s="46" t="s">
        <v>1053</v>
      </c>
      <c r="AE238" s="47" t="s">
        <v>767</v>
      </c>
    </row>
    <row r="239" spans="11:31" ht="17.25" customHeight="1" x14ac:dyDescent="0.25">
      <c r="K239" s="40" t="s">
        <v>377</v>
      </c>
      <c r="L239" s="41" t="s">
        <v>2597</v>
      </c>
      <c r="M239" s="41" t="s">
        <v>559</v>
      </c>
      <c r="N239" s="41" t="s">
        <v>3139</v>
      </c>
      <c r="O239" s="41" t="s">
        <v>2369</v>
      </c>
      <c r="P239" s="41" t="s">
        <v>3148</v>
      </c>
      <c r="Q239" s="42" t="s">
        <v>1341</v>
      </c>
      <c r="V239" s="43">
        <v>1082</v>
      </c>
      <c r="W239" s="45" t="s">
        <v>1804</v>
      </c>
      <c r="X239" s="45" t="s">
        <v>1011</v>
      </c>
      <c r="Y239" s="45" t="s">
        <v>1805</v>
      </c>
      <c r="Z239" s="45" t="s">
        <v>61</v>
      </c>
      <c r="AA239" s="45" t="s">
        <v>565</v>
      </c>
      <c r="AB239" s="44" t="s">
        <v>1341</v>
      </c>
      <c r="AD239" s="46" t="s">
        <v>1054</v>
      </c>
      <c r="AE239" s="47" t="s">
        <v>767</v>
      </c>
    </row>
    <row r="240" spans="11:31" ht="17.25" customHeight="1" x14ac:dyDescent="0.25">
      <c r="K240" s="40" t="s">
        <v>308</v>
      </c>
      <c r="L240" s="41" t="s">
        <v>2598</v>
      </c>
      <c r="M240" s="41" t="s">
        <v>545</v>
      </c>
      <c r="N240" s="41" t="s">
        <v>3139</v>
      </c>
      <c r="O240" s="41" t="s">
        <v>2369</v>
      </c>
      <c r="P240" s="41" t="s">
        <v>3148</v>
      </c>
      <c r="Q240" s="42" t="s">
        <v>1341</v>
      </c>
      <c r="V240" s="43">
        <v>1137</v>
      </c>
      <c r="W240" s="45" t="s">
        <v>1806</v>
      </c>
      <c r="X240" s="45" t="s">
        <v>1184</v>
      </c>
      <c r="Y240" s="45" t="s">
        <v>1807</v>
      </c>
      <c r="Z240" s="45" t="s">
        <v>2341</v>
      </c>
      <c r="AA240" s="45" t="s">
        <v>523</v>
      </c>
      <c r="AB240" s="44" t="s">
        <v>1343</v>
      </c>
      <c r="AD240" s="46" t="s">
        <v>1055</v>
      </c>
      <c r="AE240" s="47" t="s">
        <v>767</v>
      </c>
    </row>
    <row r="241" spans="11:31" ht="17.25" customHeight="1" x14ac:dyDescent="0.25">
      <c r="K241" s="40" t="s">
        <v>382</v>
      </c>
      <c r="L241" s="41" t="s">
        <v>2567</v>
      </c>
      <c r="M241" s="41" t="s">
        <v>540</v>
      </c>
      <c r="N241" s="41" t="s">
        <v>3139</v>
      </c>
      <c r="O241" s="41" t="s">
        <v>2367</v>
      </c>
      <c r="P241" s="41" t="s">
        <v>3140</v>
      </c>
      <c r="Q241" s="42" t="s">
        <v>1341</v>
      </c>
      <c r="V241" s="43">
        <v>1548</v>
      </c>
      <c r="W241" s="45" t="s">
        <v>1808</v>
      </c>
      <c r="X241" s="45" t="s">
        <v>1185</v>
      </c>
      <c r="Y241" s="45" t="s">
        <v>1809</v>
      </c>
      <c r="Z241" s="45" t="s">
        <v>2341</v>
      </c>
      <c r="AA241" s="45" t="s">
        <v>523</v>
      </c>
      <c r="AB241" s="44" t="s">
        <v>1343</v>
      </c>
      <c r="AD241" s="46" t="s">
        <v>1056</v>
      </c>
      <c r="AE241" s="47" t="s">
        <v>767</v>
      </c>
    </row>
    <row r="242" spans="11:31" ht="17.25" customHeight="1" x14ac:dyDescent="0.25">
      <c r="K242" s="40" t="s">
        <v>683</v>
      </c>
      <c r="L242" s="41" t="s">
        <v>2599</v>
      </c>
      <c r="M242" s="41" t="s">
        <v>554</v>
      </c>
      <c r="N242" s="41" t="s">
        <v>3139</v>
      </c>
      <c r="O242" s="41" t="s">
        <v>2369</v>
      </c>
      <c r="P242" s="41" t="s">
        <v>3140</v>
      </c>
      <c r="Q242" s="42" t="s">
        <v>1341</v>
      </c>
      <c r="V242" s="43">
        <v>1248</v>
      </c>
      <c r="W242" s="45" t="s">
        <v>1810</v>
      </c>
      <c r="X242" s="45" t="s">
        <v>1012</v>
      </c>
      <c r="Y242" s="45" t="s">
        <v>1811</v>
      </c>
      <c r="Z242" s="45" t="s">
        <v>2342</v>
      </c>
      <c r="AA242" s="45" t="s">
        <v>544</v>
      </c>
      <c r="AB242" s="44" t="s">
        <v>1341</v>
      </c>
      <c r="AD242" s="46" t="s">
        <v>1057</v>
      </c>
      <c r="AE242" s="47" t="s">
        <v>767</v>
      </c>
    </row>
    <row r="243" spans="11:31" ht="17.25" customHeight="1" x14ac:dyDescent="0.25">
      <c r="K243" s="40" t="s">
        <v>383</v>
      </c>
      <c r="L243" s="41" t="s">
        <v>2600</v>
      </c>
      <c r="M243" s="41" t="s">
        <v>555</v>
      </c>
      <c r="N243" s="41" t="s">
        <v>3139</v>
      </c>
      <c r="O243" s="41" t="s">
        <v>2367</v>
      </c>
      <c r="P243" s="41" t="s">
        <v>3140</v>
      </c>
      <c r="Q243" s="42" t="s">
        <v>1341</v>
      </c>
      <c r="V243" s="43">
        <v>1513</v>
      </c>
      <c r="W243" s="45" t="s">
        <v>1812</v>
      </c>
      <c r="X243" s="45" t="s">
        <v>1186</v>
      </c>
      <c r="Y243" s="45" t="s">
        <v>1813</v>
      </c>
      <c r="Z243" s="45" t="s">
        <v>257</v>
      </c>
      <c r="AA243" s="45" t="s">
        <v>528</v>
      </c>
      <c r="AB243" s="44" t="s">
        <v>1343</v>
      </c>
      <c r="AD243" s="46" t="s">
        <v>1058</v>
      </c>
      <c r="AE243" s="47" t="s">
        <v>767</v>
      </c>
    </row>
    <row r="244" spans="11:31" ht="17.25" customHeight="1" x14ac:dyDescent="0.25">
      <c r="K244" s="40" t="s">
        <v>376</v>
      </c>
      <c r="L244" s="41" t="s">
        <v>2601</v>
      </c>
      <c r="M244" s="41" t="s">
        <v>503</v>
      </c>
      <c r="N244" s="41" t="s">
        <v>3139</v>
      </c>
      <c r="O244" s="41" t="s">
        <v>2369</v>
      </c>
      <c r="P244" s="41" t="s">
        <v>3140</v>
      </c>
      <c r="Q244" s="42" t="s">
        <v>1341</v>
      </c>
      <c r="V244" s="43">
        <v>1480</v>
      </c>
      <c r="W244" s="45" t="s">
        <v>1814</v>
      </c>
      <c r="X244" s="45" t="s">
        <v>1117</v>
      </c>
      <c r="Y244" s="45" t="s">
        <v>1815</v>
      </c>
      <c r="Z244" s="45" t="s">
        <v>2343</v>
      </c>
      <c r="AA244" s="45" t="s">
        <v>536</v>
      </c>
      <c r="AB244" s="44" t="s">
        <v>1342</v>
      </c>
      <c r="AD244" s="46" t="s">
        <v>1059</v>
      </c>
      <c r="AE244" s="47" t="s">
        <v>767</v>
      </c>
    </row>
    <row r="245" spans="11:31" ht="17.25" customHeight="1" x14ac:dyDescent="0.25">
      <c r="K245" s="40" t="s">
        <v>141</v>
      </c>
      <c r="L245" s="41" t="s">
        <v>2602</v>
      </c>
      <c r="M245" s="41" t="s">
        <v>540</v>
      </c>
      <c r="N245" s="41" t="s">
        <v>3139</v>
      </c>
      <c r="O245" s="41" t="s">
        <v>2367</v>
      </c>
      <c r="P245" s="41" t="s">
        <v>3140</v>
      </c>
      <c r="Q245" s="42" t="s">
        <v>1341</v>
      </c>
      <c r="V245" s="43">
        <v>1565</v>
      </c>
      <c r="W245" s="45" t="s">
        <v>1816</v>
      </c>
      <c r="X245" s="45" t="s">
        <v>1187</v>
      </c>
      <c r="Y245" s="45" t="s">
        <v>1817</v>
      </c>
      <c r="Z245" s="45" t="s">
        <v>99</v>
      </c>
      <c r="AA245" s="45" t="s">
        <v>529</v>
      </c>
      <c r="AB245" s="44" t="s">
        <v>1343</v>
      </c>
      <c r="AD245" s="46" t="s">
        <v>1060</v>
      </c>
      <c r="AE245" s="47" t="s">
        <v>767</v>
      </c>
    </row>
    <row r="246" spans="11:31" ht="17.25" customHeight="1" x14ac:dyDescent="0.25">
      <c r="K246" s="40" t="s">
        <v>458</v>
      </c>
      <c r="L246" s="41" t="s">
        <v>2602</v>
      </c>
      <c r="M246" s="41" t="s">
        <v>503</v>
      </c>
      <c r="N246" s="41" t="s">
        <v>3139</v>
      </c>
      <c r="O246" s="41" t="s">
        <v>2369</v>
      </c>
      <c r="P246" s="41" t="s">
        <v>3140</v>
      </c>
      <c r="Q246" s="42" t="s">
        <v>1341</v>
      </c>
      <c r="V246" s="43">
        <v>1129</v>
      </c>
      <c r="W246" s="45" t="s">
        <v>1818</v>
      </c>
      <c r="X246" s="45" t="s">
        <v>1118</v>
      </c>
      <c r="Y246" s="45" t="s">
        <v>1819</v>
      </c>
      <c r="Z246" s="45" t="s">
        <v>786</v>
      </c>
      <c r="AA246" s="45" t="s">
        <v>806</v>
      </c>
      <c r="AB246" s="44" t="s">
        <v>1342</v>
      </c>
      <c r="AD246" s="46" t="s">
        <v>1061</v>
      </c>
      <c r="AE246" s="47" t="s">
        <v>767</v>
      </c>
    </row>
    <row r="247" spans="11:31" ht="17.25" customHeight="1" x14ac:dyDescent="0.25">
      <c r="K247" s="40" t="s">
        <v>381</v>
      </c>
      <c r="L247" s="41" t="s">
        <v>2603</v>
      </c>
      <c r="M247" s="41" t="s">
        <v>502</v>
      </c>
      <c r="N247" s="41" t="s">
        <v>3139</v>
      </c>
      <c r="O247" s="41" t="s">
        <v>2367</v>
      </c>
      <c r="P247" s="41" t="s">
        <v>3140</v>
      </c>
      <c r="Q247" s="42" t="s">
        <v>1341</v>
      </c>
      <c r="V247" s="43">
        <v>1145</v>
      </c>
      <c r="W247" s="45" t="s">
        <v>1820</v>
      </c>
      <c r="X247" s="45" t="s">
        <v>1013</v>
      </c>
      <c r="Y247" s="45" t="s">
        <v>1821</v>
      </c>
      <c r="Z247" s="45" t="s">
        <v>85</v>
      </c>
      <c r="AA247" s="45" t="s">
        <v>503</v>
      </c>
      <c r="AB247" s="44" t="s">
        <v>1341</v>
      </c>
      <c r="AD247" s="46" t="s">
        <v>1062</v>
      </c>
      <c r="AE247" s="47" t="s">
        <v>767</v>
      </c>
    </row>
    <row r="248" spans="11:31" ht="17.25" customHeight="1" x14ac:dyDescent="0.25">
      <c r="K248" s="40" t="s">
        <v>379</v>
      </c>
      <c r="L248" s="41" t="s">
        <v>2604</v>
      </c>
      <c r="M248" s="41" t="s">
        <v>540</v>
      </c>
      <c r="N248" s="41" t="s">
        <v>3139</v>
      </c>
      <c r="O248" s="41" t="s">
        <v>2367</v>
      </c>
      <c r="P248" s="41" t="s">
        <v>3140</v>
      </c>
      <c r="Q248" s="42" t="s">
        <v>1341</v>
      </c>
      <c r="V248" s="43">
        <v>1957</v>
      </c>
      <c r="W248" s="45" t="s">
        <v>1822</v>
      </c>
      <c r="X248" s="45" t="s">
        <v>1188</v>
      </c>
      <c r="Y248" s="45" t="s">
        <v>1823</v>
      </c>
      <c r="Z248" s="45" t="s">
        <v>607</v>
      </c>
      <c r="AA248" s="45" t="s">
        <v>531</v>
      </c>
      <c r="AB248" s="44" t="s">
        <v>1343</v>
      </c>
      <c r="AD248" s="46" t="s">
        <v>1063</v>
      </c>
      <c r="AE248" s="47" t="s">
        <v>767</v>
      </c>
    </row>
    <row r="249" spans="11:31" ht="17.25" customHeight="1" x14ac:dyDescent="0.25">
      <c r="K249" s="40" t="s">
        <v>394</v>
      </c>
      <c r="L249" s="41" t="s">
        <v>2605</v>
      </c>
      <c r="M249" s="41" t="s">
        <v>540</v>
      </c>
      <c r="N249" s="41" t="s">
        <v>3139</v>
      </c>
      <c r="O249" s="41" t="s">
        <v>2367</v>
      </c>
      <c r="P249" s="41" t="s">
        <v>3140</v>
      </c>
      <c r="Q249" s="42" t="s">
        <v>1341</v>
      </c>
      <c r="V249" s="43">
        <v>1536</v>
      </c>
      <c r="W249" s="45" t="s">
        <v>1824</v>
      </c>
      <c r="X249" s="45" t="s">
        <v>1189</v>
      </c>
      <c r="Y249" s="45" t="s">
        <v>1825</v>
      </c>
      <c r="Z249" s="45" t="s">
        <v>2328</v>
      </c>
      <c r="AA249" s="45" t="s">
        <v>527</v>
      </c>
      <c r="AB249" s="44" t="s">
        <v>1343</v>
      </c>
      <c r="AD249" s="46" t="s">
        <v>1064</v>
      </c>
      <c r="AE249" s="47" t="s">
        <v>767</v>
      </c>
    </row>
    <row r="250" spans="11:31" ht="17.25" customHeight="1" x14ac:dyDescent="0.25">
      <c r="K250" s="40" t="s">
        <v>390</v>
      </c>
      <c r="L250" s="41" t="s">
        <v>2606</v>
      </c>
      <c r="M250" s="41" t="s">
        <v>547</v>
      </c>
      <c r="N250" s="41" t="s">
        <v>3139</v>
      </c>
      <c r="O250" s="41" t="s">
        <v>2369</v>
      </c>
      <c r="P250" s="41" t="s">
        <v>3140</v>
      </c>
      <c r="Q250" s="42" t="s">
        <v>1341</v>
      </c>
      <c r="V250" s="43">
        <v>1088</v>
      </c>
      <c r="W250" s="45" t="s">
        <v>1826</v>
      </c>
      <c r="X250" s="45" t="s">
        <v>1827</v>
      </c>
      <c r="Y250" s="45" t="s">
        <v>1828</v>
      </c>
      <c r="Z250" s="45" t="s">
        <v>66</v>
      </c>
      <c r="AA250" s="45" t="s">
        <v>544</v>
      </c>
      <c r="AB250" s="44" t="s">
        <v>1341</v>
      </c>
      <c r="AD250" s="46" t="s">
        <v>1065</v>
      </c>
      <c r="AE250" s="47" t="s">
        <v>767</v>
      </c>
    </row>
    <row r="251" spans="11:31" ht="17.25" customHeight="1" x14ac:dyDescent="0.25">
      <c r="K251" s="40" t="s">
        <v>400</v>
      </c>
      <c r="L251" s="41" t="s">
        <v>2607</v>
      </c>
      <c r="M251" s="41" t="s">
        <v>713</v>
      </c>
      <c r="N251" s="41" t="s">
        <v>3139</v>
      </c>
      <c r="O251" s="41" t="s">
        <v>2369</v>
      </c>
      <c r="P251" s="41" t="s">
        <v>3148</v>
      </c>
      <c r="Q251" s="42" t="s">
        <v>1341</v>
      </c>
      <c r="V251" s="43">
        <v>2448</v>
      </c>
      <c r="W251" s="45" t="s">
        <v>1829</v>
      </c>
      <c r="X251" s="45" t="s">
        <v>823</v>
      </c>
      <c r="Y251" s="45" t="s">
        <v>1830</v>
      </c>
      <c r="Z251" s="45" t="s">
        <v>91</v>
      </c>
      <c r="AA251" s="45" t="s">
        <v>506</v>
      </c>
      <c r="AB251" s="44" t="s">
        <v>506</v>
      </c>
      <c r="AD251" s="46" t="s">
        <v>1066</v>
      </c>
      <c r="AE251" s="47" t="s">
        <v>767</v>
      </c>
    </row>
    <row r="252" spans="11:31" ht="17.25" customHeight="1" x14ac:dyDescent="0.25">
      <c r="K252" s="40" t="s">
        <v>1312</v>
      </c>
      <c r="L252" s="41" t="s">
        <v>2608</v>
      </c>
      <c r="M252" s="41" t="s">
        <v>557</v>
      </c>
      <c r="N252" s="41" t="s">
        <v>3139</v>
      </c>
      <c r="O252" s="41" t="s">
        <v>2369</v>
      </c>
      <c r="P252" s="41" t="s">
        <v>3140</v>
      </c>
      <c r="Q252" s="42" t="s">
        <v>1341</v>
      </c>
      <c r="V252" s="43">
        <v>1495</v>
      </c>
      <c r="W252" s="45" t="s">
        <v>1831</v>
      </c>
      <c r="X252" s="45" t="s">
        <v>1119</v>
      </c>
      <c r="Y252" s="45" t="s">
        <v>1832</v>
      </c>
      <c r="Z252" s="45" t="s">
        <v>774</v>
      </c>
      <c r="AA252" s="45" t="s">
        <v>806</v>
      </c>
      <c r="AB252" s="44" t="s">
        <v>1342</v>
      </c>
      <c r="AD252" s="46" t="s">
        <v>1067</v>
      </c>
      <c r="AE252" s="47" t="s">
        <v>767</v>
      </c>
    </row>
    <row r="253" spans="11:31" ht="17.25" customHeight="1" x14ac:dyDescent="0.25">
      <c r="K253" s="40" t="s">
        <v>142</v>
      </c>
      <c r="L253" s="41" t="s">
        <v>2609</v>
      </c>
      <c r="M253" s="41" t="s">
        <v>540</v>
      </c>
      <c r="N253" s="41" t="s">
        <v>3139</v>
      </c>
      <c r="O253" s="41" t="s">
        <v>2367</v>
      </c>
      <c r="P253" s="41" t="s">
        <v>3140</v>
      </c>
      <c r="Q253" s="42" t="s">
        <v>1341</v>
      </c>
      <c r="V253" s="43">
        <v>1334</v>
      </c>
      <c r="W253" s="45" t="s">
        <v>1833</v>
      </c>
      <c r="X253" s="45" t="s">
        <v>1834</v>
      </c>
      <c r="Y253" s="45" t="s">
        <v>1835</v>
      </c>
      <c r="Z253" s="45" t="s">
        <v>128</v>
      </c>
      <c r="AA253" s="45" t="s">
        <v>507</v>
      </c>
      <c r="AB253" s="44" t="s">
        <v>15</v>
      </c>
      <c r="AD253" s="46" t="s">
        <v>1068</v>
      </c>
      <c r="AE253" s="47" t="s">
        <v>767</v>
      </c>
    </row>
    <row r="254" spans="11:31" ht="17.25" customHeight="1" x14ac:dyDescent="0.25">
      <c r="K254" s="40" t="s">
        <v>1313</v>
      </c>
      <c r="L254" s="41" t="s">
        <v>2610</v>
      </c>
      <c r="M254" s="41" t="s">
        <v>554</v>
      </c>
      <c r="N254" s="41" t="s">
        <v>3139</v>
      </c>
      <c r="O254" s="41" t="s">
        <v>2369</v>
      </c>
      <c r="P254" s="41" t="s">
        <v>3140</v>
      </c>
      <c r="Q254" s="42" t="s">
        <v>1341</v>
      </c>
      <c r="V254" s="43">
        <v>1273</v>
      </c>
      <c r="W254" s="45" t="s">
        <v>1836</v>
      </c>
      <c r="X254" s="45" t="s">
        <v>858</v>
      </c>
      <c r="Y254" s="45" t="s">
        <v>1837</v>
      </c>
      <c r="Z254" s="45" t="s">
        <v>105</v>
      </c>
      <c r="AA254" s="45" t="s">
        <v>500</v>
      </c>
      <c r="AB254" s="44" t="s">
        <v>500</v>
      </c>
      <c r="AD254" s="46" t="s">
        <v>1069</v>
      </c>
      <c r="AE254" s="47" t="s">
        <v>767</v>
      </c>
    </row>
    <row r="255" spans="11:31" ht="17.25" customHeight="1" x14ac:dyDescent="0.25">
      <c r="K255" s="40" t="s">
        <v>1314</v>
      </c>
      <c r="L255" s="41" t="s">
        <v>2611</v>
      </c>
      <c r="M255" s="41" t="s">
        <v>554</v>
      </c>
      <c r="N255" s="41" t="s">
        <v>3139</v>
      </c>
      <c r="O255" s="41" t="s">
        <v>2369</v>
      </c>
      <c r="P255" s="41" t="s">
        <v>3140</v>
      </c>
      <c r="Q255" s="42" t="s">
        <v>1341</v>
      </c>
      <c r="V255" s="43">
        <v>1888</v>
      </c>
      <c r="W255" s="45" t="s">
        <v>1838</v>
      </c>
      <c r="X255" s="45" t="s">
        <v>1190</v>
      </c>
      <c r="Y255" s="45" t="s">
        <v>1839</v>
      </c>
      <c r="Z255" s="45" t="s">
        <v>582</v>
      </c>
      <c r="AA255" s="45" t="s">
        <v>535</v>
      </c>
      <c r="AB255" s="44" t="s">
        <v>1343</v>
      </c>
      <c r="AD255" s="46" t="s">
        <v>1070</v>
      </c>
      <c r="AE255" s="47" t="s">
        <v>767</v>
      </c>
    </row>
    <row r="256" spans="11:31" ht="17.25" customHeight="1" x14ac:dyDescent="0.25">
      <c r="K256" s="40" t="s">
        <v>1315</v>
      </c>
      <c r="L256" s="41" t="s">
        <v>2612</v>
      </c>
      <c r="M256" s="41" t="s">
        <v>546</v>
      </c>
      <c r="N256" s="41" t="s">
        <v>3139</v>
      </c>
      <c r="O256" s="41" t="s">
        <v>2369</v>
      </c>
      <c r="P256" s="41" t="s">
        <v>3140</v>
      </c>
      <c r="Q256" s="42" t="s">
        <v>1341</v>
      </c>
      <c r="V256" s="43">
        <v>1166</v>
      </c>
      <c r="W256" s="45" t="s">
        <v>1840</v>
      </c>
      <c r="X256" s="45" t="s">
        <v>1182</v>
      </c>
      <c r="Y256" s="45" t="s">
        <v>3102</v>
      </c>
      <c r="Z256" s="45" t="s">
        <v>104</v>
      </c>
      <c r="AA256" s="45" t="s">
        <v>510</v>
      </c>
      <c r="AB256" s="44" t="s">
        <v>1343</v>
      </c>
      <c r="AD256" s="46" t="s">
        <v>1071</v>
      </c>
      <c r="AE256" s="47" t="s">
        <v>767</v>
      </c>
    </row>
    <row r="257" spans="11:31" ht="17.25" customHeight="1" x14ac:dyDescent="0.25">
      <c r="K257" s="40" t="s">
        <v>1316</v>
      </c>
      <c r="L257" s="41" t="s">
        <v>2613</v>
      </c>
      <c r="M257" s="41" t="s">
        <v>550</v>
      </c>
      <c r="N257" s="41" t="s">
        <v>3139</v>
      </c>
      <c r="O257" s="41" t="s">
        <v>2369</v>
      </c>
      <c r="P257" s="41" t="s">
        <v>3140</v>
      </c>
      <c r="Q257" s="42" t="s">
        <v>1341</v>
      </c>
      <c r="V257" s="43">
        <v>1112</v>
      </c>
      <c r="W257" s="45" t="s">
        <v>1841</v>
      </c>
      <c r="X257" s="45" t="s">
        <v>1192</v>
      </c>
      <c r="Y257" s="45" t="s">
        <v>1842</v>
      </c>
      <c r="Z257" s="45" t="s">
        <v>2344</v>
      </c>
      <c r="AA257" s="45" t="s">
        <v>518</v>
      </c>
      <c r="AB257" s="44" t="s">
        <v>1343</v>
      </c>
      <c r="AD257" s="46" t="s">
        <v>1072</v>
      </c>
      <c r="AE257" s="47" t="s">
        <v>767</v>
      </c>
    </row>
    <row r="258" spans="11:31" ht="17.25" customHeight="1" x14ac:dyDescent="0.25">
      <c r="K258" s="40" t="s">
        <v>1317</v>
      </c>
      <c r="L258" s="41" t="s">
        <v>2614</v>
      </c>
      <c r="M258" s="41" t="s">
        <v>547</v>
      </c>
      <c r="N258" s="41" t="s">
        <v>3139</v>
      </c>
      <c r="O258" s="41" t="s">
        <v>2369</v>
      </c>
      <c r="P258" s="41" t="s">
        <v>3140</v>
      </c>
      <c r="Q258" s="42" t="s">
        <v>1341</v>
      </c>
      <c r="V258" s="43">
        <v>1537</v>
      </c>
      <c r="W258" s="45" t="s">
        <v>1843</v>
      </c>
      <c r="X258" s="45" t="s">
        <v>1193</v>
      </c>
      <c r="Y258" s="45" t="s">
        <v>1844</v>
      </c>
      <c r="Z258" s="45" t="s">
        <v>2318</v>
      </c>
      <c r="AA258" s="45" t="s">
        <v>517</v>
      </c>
      <c r="AB258" s="44" t="s">
        <v>1343</v>
      </c>
      <c r="AD258" s="46" t="s">
        <v>1073</v>
      </c>
      <c r="AE258" s="47" t="s">
        <v>767</v>
      </c>
    </row>
    <row r="259" spans="11:31" ht="17.25" customHeight="1" x14ac:dyDescent="0.25">
      <c r="K259" s="40" t="s">
        <v>3363</v>
      </c>
      <c r="L259" s="41" t="s">
        <v>3380</v>
      </c>
      <c r="M259" s="41" t="s">
        <v>555</v>
      </c>
      <c r="N259" s="41" t="s">
        <v>3139</v>
      </c>
      <c r="O259" s="41" t="s">
        <v>2367</v>
      </c>
      <c r="P259" s="41" t="s">
        <v>3140</v>
      </c>
      <c r="Q259" s="42" t="s">
        <v>1341</v>
      </c>
      <c r="V259" s="43">
        <v>2302</v>
      </c>
      <c r="W259" s="45" t="s">
        <v>1845</v>
      </c>
      <c r="X259" s="45" t="s">
        <v>1194</v>
      </c>
      <c r="Y259" s="45" t="s">
        <v>1846</v>
      </c>
      <c r="Z259" s="45" t="s">
        <v>621</v>
      </c>
      <c r="AA259" s="45" t="s">
        <v>535</v>
      </c>
      <c r="AB259" s="44" t="s">
        <v>1343</v>
      </c>
      <c r="AD259" s="46" t="s">
        <v>1074</v>
      </c>
      <c r="AE259" s="47" t="s">
        <v>767</v>
      </c>
    </row>
    <row r="260" spans="11:31" ht="17.25" customHeight="1" x14ac:dyDescent="0.25">
      <c r="K260" s="40" t="s">
        <v>1318</v>
      </c>
      <c r="L260" s="41" t="s">
        <v>2615</v>
      </c>
      <c r="M260" s="41" t="s">
        <v>546</v>
      </c>
      <c r="N260" s="41" t="s">
        <v>3139</v>
      </c>
      <c r="O260" s="41" t="s">
        <v>2369</v>
      </c>
      <c r="P260" s="41" t="s">
        <v>3140</v>
      </c>
      <c r="Q260" s="42" t="s">
        <v>1341</v>
      </c>
      <c r="V260" s="43">
        <v>1188</v>
      </c>
      <c r="W260" s="45" t="s">
        <v>1847</v>
      </c>
      <c r="X260" s="45" t="s">
        <v>1014</v>
      </c>
      <c r="Y260" s="45" t="s">
        <v>1848</v>
      </c>
      <c r="Z260" s="45" t="s">
        <v>44</v>
      </c>
      <c r="AA260" s="45" t="s">
        <v>560</v>
      </c>
      <c r="AB260" s="44" t="s">
        <v>1341</v>
      </c>
      <c r="AD260" s="46" t="s">
        <v>1075</v>
      </c>
      <c r="AE260" s="47" t="s">
        <v>767</v>
      </c>
    </row>
    <row r="261" spans="11:31" ht="17.25" customHeight="1" x14ac:dyDescent="0.25">
      <c r="K261" s="40" t="s">
        <v>389</v>
      </c>
      <c r="L261" s="41" t="s">
        <v>2616</v>
      </c>
      <c r="M261" s="41" t="s">
        <v>560</v>
      </c>
      <c r="N261" s="41" t="s">
        <v>3139</v>
      </c>
      <c r="O261" s="41" t="s">
        <v>2369</v>
      </c>
      <c r="P261" s="41" t="s">
        <v>3148</v>
      </c>
      <c r="Q261" s="42" t="s">
        <v>1341</v>
      </c>
      <c r="V261" s="43">
        <v>1575</v>
      </c>
      <c r="W261" s="45" t="s">
        <v>1849</v>
      </c>
      <c r="X261" s="45" t="s">
        <v>1015</v>
      </c>
      <c r="Y261" s="45" t="s">
        <v>1850</v>
      </c>
      <c r="Z261" s="45" t="s">
        <v>44</v>
      </c>
      <c r="AA261" s="45" t="s">
        <v>560</v>
      </c>
      <c r="AB261" s="44" t="s">
        <v>1341</v>
      </c>
      <c r="AD261" s="46" t="s">
        <v>1076</v>
      </c>
      <c r="AE261" s="47" t="s">
        <v>767</v>
      </c>
    </row>
    <row r="262" spans="11:31" ht="17.25" customHeight="1" x14ac:dyDescent="0.25">
      <c r="K262" s="40" t="s">
        <v>107</v>
      </c>
      <c r="L262" s="41" t="s">
        <v>2617</v>
      </c>
      <c r="M262" s="41" t="s">
        <v>545</v>
      </c>
      <c r="N262" s="41" t="s">
        <v>3139</v>
      </c>
      <c r="O262" s="41" t="s">
        <v>2369</v>
      </c>
      <c r="P262" s="41" t="s">
        <v>3148</v>
      </c>
      <c r="Q262" s="42" t="s">
        <v>1341</v>
      </c>
      <c r="V262" s="43">
        <v>2417</v>
      </c>
      <c r="W262" s="45" t="s">
        <v>1851</v>
      </c>
      <c r="X262" s="45" t="s">
        <v>1016</v>
      </c>
      <c r="Y262" s="45" t="s">
        <v>1852</v>
      </c>
      <c r="Z262" s="45" t="s">
        <v>2316</v>
      </c>
      <c r="AA262" s="45" t="s">
        <v>544</v>
      </c>
      <c r="AB262" s="44" t="s">
        <v>1341</v>
      </c>
      <c r="AD262" s="46" t="s">
        <v>1077</v>
      </c>
      <c r="AE262" s="47" t="s">
        <v>767</v>
      </c>
    </row>
    <row r="263" spans="11:31" ht="17.25" customHeight="1" x14ac:dyDescent="0.25">
      <c r="K263" s="40" t="s">
        <v>1319</v>
      </c>
      <c r="L263" s="41" t="s">
        <v>2588</v>
      </c>
      <c r="M263" s="41" t="s">
        <v>550</v>
      </c>
      <c r="N263" s="41" t="s">
        <v>3139</v>
      </c>
      <c r="O263" s="41" t="s">
        <v>2369</v>
      </c>
      <c r="P263" s="41" t="s">
        <v>3140</v>
      </c>
      <c r="Q263" s="42" t="s">
        <v>1341</v>
      </c>
      <c r="V263" s="43">
        <v>1354</v>
      </c>
      <c r="W263" s="45" t="s">
        <v>1853</v>
      </c>
      <c r="X263" s="45" t="s">
        <v>859</v>
      </c>
      <c r="Y263" s="45" t="s">
        <v>1854</v>
      </c>
      <c r="Z263" s="45" t="s">
        <v>27</v>
      </c>
      <c r="AA263" s="45" t="s">
        <v>500</v>
      </c>
      <c r="AB263" s="44" t="s">
        <v>500</v>
      </c>
      <c r="AD263" s="46" t="s">
        <v>1078</v>
      </c>
      <c r="AE263" s="47" t="s">
        <v>767</v>
      </c>
    </row>
    <row r="264" spans="11:31" ht="17.25" customHeight="1" x14ac:dyDescent="0.25">
      <c r="K264" s="40" t="s">
        <v>351</v>
      </c>
      <c r="L264" s="41" t="s">
        <v>2618</v>
      </c>
      <c r="M264" s="41" t="s">
        <v>502</v>
      </c>
      <c r="N264" s="41" t="s">
        <v>3139</v>
      </c>
      <c r="O264" s="41" t="s">
        <v>2367</v>
      </c>
      <c r="P264" s="41" t="s">
        <v>3140</v>
      </c>
      <c r="Q264" s="42" t="s">
        <v>1341</v>
      </c>
      <c r="V264" s="43">
        <v>1143</v>
      </c>
      <c r="W264" s="45" t="s">
        <v>1855</v>
      </c>
      <c r="X264" s="45" t="s">
        <v>1017</v>
      </c>
      <c r="Y264" s="45" t="s">
        <v>1856</v>
      </c>
      <c r="Z264" s="45" t="s">
        <v>82</v>
      </c>
      <c r="AA264" s="45" t="s">
        <v>546</v>
      </c>
      <c r="AB264" s="44" t="s">
        <v>1341</v>
      </c>
      <c r="AD264" s="46" t="s">
        <v>1079</v>
      </c>
      <c r="AE264" s="47" t="s">
        <v>767</v>
      </c>
    </row>
    <row r="265" spans="11:31" ht="17.25" customHeight="1" x14ac:dyDescent="0.25">
      <c r="K265" s="40" t="s">
        <v>403</v>
      </c>
      <c r="L265" s="41" t="s">
        <v>2619</v>
      </c>
      <c r="M265" s="41" t="s">
        <v>548</v>
      </c>
      <c r="N265" s="41" t="s">
        <v>3139</v>
      </c>
      <c r="O265" s="41" t="s">
        <v>2367</v>
      </c>
      <c r="P265" s="41" t="s">
        <v>3140</v>
      </c>
      <c r="Q265" s="42" t="s">
        <v>1341</v>
      </c>
      <c r="V265" s="43">
        <v>2315</v>
      </c>
      <c r="W265" s="45" t="s">
        <v>1857</v>
      </c>
      <c r="X265" s="45" t="s">
        <v>1018</v>
      </c>
      <c r="Y265" s="45" t="s">
        <v>1858</v>
      </c>
      <c r="Z265" s="45" t="s">
        <v>26</v>
      </c>
      <c r="AA265" s="45" t="s">
        <v>543</v>
      </c>
      <c r="AB265" s="44" t="s">
        <v>1341</v>
      </c>
      <c r="AD265" s="46" t="s">
        <v>1080</v>
      </c>
      <c r="AE265" s="47" t="s">
        <v>767</v>
      </c>
    </row>
    <row r="266" spans="11:31" ht="17.25" customHeight="1" x14ac:dyDescent="0.25">
      <c r="K266" s="40" t="s">
        <v>395</v>
      </c>
      <c r="L266" s="41" t="s">
        <v>2620</v>
      </c>
      <c r="M266" s="41" t="s">
        <v>550</v>
      </c>
      <c r="N266" s="41" t="s">
        <v>3139</v>
      </c>
      <c r="O266" s="41" t="s">
        <v>2369</v>
      </c>
      <c r="P266" s="41" t="s">
        <v>3140</v>
      </c>
      <c r="Q266" s="42" t="s">
        <v>1341</v>
      </c>
      <c r="V266" s="43">
        <v>1180</v>
      </c>
      <c r="W266" s="45" t="s">
        <v>1859</v>
      </c>
      <c r="X266" s="45" t="s">
        <v>1019</v>
      </c>
      <c r="Y266" s="45" t="s">
        <v>1860</v>
      </c>
      <c r="Z266" s="45" t="s">
        <v>26</v>
      </c>
      <c r="AA266" s="45" t="s">
        <v>543</v>
      </c>
      <c r="AB266" s="44" t="s">
        <v>1341</v>
      </c>
      <c r="AD266" s="46" t="s">
        <v>1081</v>
      </c>
      <c r="AE266" s="47" t="s">
        <v>767</v>
      </c>
    </row>
    <row r="267" spans="11:31" ht="17.25" customHeight="1" x14ac:dyDescent="0.25">
      <c r="K267" s="40" t="s">
        <v>611</v>
      </c>
      <c r="L267" s="41" t="s">
        <v>2596</v>
      </c>
      <c r="M267" s="41" t="s">
        <v>550</v>
      </c>
      <c r="N267" s="41" t="s">
        <v>3139</v>
      </c>
      <c r="O267" s="41" t="s">
        <v>2369</v>
      </c>
      <c r="P267" s="41" t="s">
        <v>3140</v>
      </c>
      <c r="Q267" s="42" t="s">
        <v>1341</v>
      </c>
      <c r="V267" s="43">
        <v>1338</v>
      </c>
      <c r="W267" s="45" t="s">
        <v>1861</v>
      </c>
      <c r="X267" s="45" t="s">
        <v>926</v>
      </c>
      <c r="Y267" s="45" t="s">
        <v>1862</v>
      </c>
      <c r="Z267" s="45" t="s">
        <v>122</v>
      </c>
      <c r="AA267" s="45" t="s">
        <v>507</v>
      </c>
      <c r="AB267" s="44" t="s">
        <v>15</v>
      </c>
      <c r="AD267" s="46" t="s">
        <v>1082</v>
      </c>
      <c r="AE267" s="47" t="s">
        <v>767</v>
      </c>
    </row>
    <row r="268" spans="11:31" ht="17.25" customHeight="1" x14ac:dyDescent="0.25">
      <c r="K268" s="40" t="s">
        <v>581</v>
      </c>
      <c r="L268" s="41" t="s">
        <v>2621</v>
      </c>
      <c r="M268" s="41" t="s">
        <v>547</v>
      </c>
      <c r="N268" s="41" t="s">
        <v>3139</v>
      </c>
      <c r="O268" s="41" t="s">
        <v>2369</v>
      </c>
      <c r="P268" s="41" t="s">
        <v>3140</v>
      </c>
      <c r="Q268" s="42" t="s">
        <v>1341</v>
      </c>
      <c r="V268" s="43">
        <v>1231</v>
      </c>
      <c r="W268" s="45" t="s">
        <v>1863</v>
      </c>
      <c r="X268" s="45" t="s">
        <v>1195</v>
      </c>
      <c r="Y268" s="45" t="s">
        <v>1864</v>
      </c>
      <c r="Z268" s="45" t="s">
        <v>2322</v>
      </c>
      <c r="AA268" s="45" t="s">
        <v>527</v>
      </c>
      <c r="AB268" s="44" t="s">
        <v>1343</v>
      </c>
      <c r="AD268" s="46" t="s">
        <v>1083</v>
      </c>
      <c r="AE268" s="47" t="s">
        <v>767</v>
      </c>
    </row>
    <row r="269" spans="11:31" ht="17.25" customHeight="1" x14ac:dyDescent="0.25">
      <c r="K269" s="40" t="s">
        <v>449</v>
      </c>
      <c r="L269" s="41" t="s">
        <v>2595</v>
      </c>
      <c r="M269" s="41" t="s">
        <v>550</v>
      </c>
      <c r="N269" s="41" t="s">
        <v>3139</v>
      </c>
      <c r="O269" s="41" t="s">
        <v>2369</v>
      </c>
      <c r="P269" s="41" t="s">
        <v>3140</v>
      </c>
      <c r="Q269" s="42" t="s">
        <v>1341</v>
      </c>
      <c r="V269" s="43">
        <v>1341</v>
      </c>
      <c r="W269" s="45" t="s">
        <v>1865</v>
      </c>
      <c r="X269" s="45" t="s">
        <v>1866</v>
      </c>
      <c r="Y269" s="45" t="s">
        <v>1867</v>
      </c>
      <c r="Z269" s="45" t="s">
        <v>124</v>
      </c>
      <c r="AA269" s="45" t="s">
        <v>507</v>
      </c>
      <c r="AB269" s="44" t="s">
        <v>15</v>
      </c>
      <c r="AD269" s="46" t="s">
        <v>1084</v>
      </c>
      <c r="AE269" s="47" t="s">
        <v>767</v>
      </c>
    </row>
    <row r="270" spans="11:31" ht="17.25" customHeight="1" x14ac:dyDescent="0.25">
      <c r="K270" s="40" t="s">
        <v>463</v>
      </c>
      <c r="L270" s="41" t="s">
        <v>2622</v>
      </c>
      <c r="M270" s="41" t="s">
        <v>550</v>
      </c>
      <c r="N270" s="41" t="s">
        <v>3139</v>
      </c>
      <c r="O270" s="41" t="s">
        <v>2369</v>
      </c>
      <c r="P270" s="41" t="s">
        <v>3140</v>
      </c>
      <c r="Q270" s="42" t="s">
        <v>1341</v>
      </c>
      <c r="V270" s="43">
        <v>1440</v>
      </c>
      <c r="W270" s="45" t="s">
        <v>1868</v>
      </c>
      <c r="X270" s="45" t="s">
        <v>927</v>
      </c>
      <c r="Y270" s="45" t="s">
        <v>1869</v>
      </c>
      <c r="Z270" s="45" t="s">
        <v>23</v>
      </c>
      <c r="AA270" s="45" t="s">
        <v>507</v>
      </c>
      <c r="AB270" s="44" t="s">
        <v>15</v>
      </c>
      <c r="AD270" s="46" t="s">
        <v>1085</v>
      </c>
      <c r="AE270" s="47" t="s">
        <v>767</v>
      </c>
    </row>
    <row r="271" spans="11:31" ht="17.25" customHeight="1" x14ac:dyDescent="0.25">
      <c r="K271" s="40" t="s">
        <v>493</v>
      </c>
      <c r="L271" s="41" t="s">
        <v>2623</v>
      </c>
      <c r="M271" s="41" t="s">
        <v>554</v>
      </c>
      <c r="N271" s="41" t="s">
        <v>3139</v>
      </c>
      <c r="O271" s="41" t="s">
        <v>2369</v>
      </c>
      <c r="P271" s="41" t="s">
        <v>3140</v>
      </c>
      <c r="Q271" s="42" t="s">
        <v>1341</v>
      </c>
      <c r="V271" s="43">
        <v>1573</v>
      </c>
      <c r="W271" s="45" t="s">
        <v>1870</v>
      </c>
      <c r="X271" s="45" t="s">
        <v>1020</v>
      </c>
      <c r="Y271" s="45" t="s">
        <v>1871</v>
      </c>
      <c r="Z271" s="45" t="s">
        <v>75</v>
      </c>
      <c r="AA271" s="45" t="s">
        <v>557</v>
      </c>
      <c r="AB271" s="44" t="s">
        <v>1341</v>
      </c>
      <c r="AD271" s="46" t="s">
        <v>1086</v>
      </c>
      <c r="AE271" s="47" t="s">
        <v>767</v>
      </c>
    </row>
    <row r="272" spans="11:31" ht="17.25" customHeight="1" x14ac:dyDescent="0.25">
      <c r="K272" s="40" t="s">
        <v>168</v>
      </c>
      <c r="L272" s="41" t="s">
        <v>2594</v>
      </c>
      <c r="M272" s="41" t="s">
        <v>550</v>
      </c>
      <c r="N272" s="41" t="s">
        <v>3139</v>
      </c>
      <c r="O272" s="41" t="s">
        <v>2369</v>
      </c>
      <c r="P272" s="41" t="s">
        <v>3140</v>
      </c>
      <c r="Q272" s="42" t="s">
        <v>1341</v>
      </c>
      <c r="V272" s="43">
        <v>1064</v>
      </c>
      <c r="W272" s="45" t="s">
        <v>1872</v>
      </c>
      <c r="X272" s="45" t="s">
        <v>1021</v>
      </c>
      <c r="Y272" s="45" t="s">
        <v>1873</v>
      </c>
      <c r="Z272" s="45" t="s">
        <v>2325</v>
      </c>
      <c r="AA272" s="45" t="s">
        <v>552</v>
      </c>
      <c r="AB272" s="44" t="s">
        <v>1341</v>
      </c>
      <c r="AD272" s="46" t="s">
        <v>1087</v>
      </c>
      <c r="AE272" s="47" t="s">
        <v>767</v>
      </c>
    </row>
    <row r="273" spans="11:31" ht="17.25" customHeight="1" x14ac:dyDescent="0.25">
      <c r="K273" s="40" t="s">
        <v>144</v>
      </c>
      <c r="L273" s="41" t="s">
        <v>2624</v>
      </c>
      <c r="M273" s="41" t="s">
        <v>540</v>
      </c>
      <c r="N273" s="41" t="s">
        <v>3139</v>
      </c>
      <c r="O273" s="41" t="s">
        <v>2367</v>
      </c>
      <c r="P273" s="41" t="s">
        <v>3140</v>
      </c>
      <c r="Q273" s="42" t="s">
        <v>1341</v>
      </c>
      <c r="V273" s="43">
        <v>1555</v>
      </c>
      <c r="W273" s="45" t="s">
        <v>1874</v>
      </c>
      <c r="X273" s="45" t="s">
        <v>1022</v>
      </c>
      <c r="Y273" s="45" t="s">
        <v>1875</v>
      </c>
      <c r="Z273" s="45" t="s">
        <v>2325</v>
      </c>
      <c r="AA273" s="45" t="s">
        <v>552</v>
      </c>
      <c r="AB273" s="44" t="s">
        <v>1341</v>
      </c>
      <c r="AD273" s="46" t="s">
        <v>1088</v>
      </c>
      <c r="AE273" s="47" t="s">
        <v>767</v>
      </c>
    </row>
    <row r="274" spans="11:31" ht="17.25" customHeight="1" x14ac:dyDescent="0.25">
      <c r="K274" s="40" t="s">
        <v>473</v>
      </c>
      <c r="L274" s="41" t="s">
        <v>2625</v>
      </c>
      <c r="M274" s="41" t="s">
        <v>548</v>
      </c>
      <c r="N274" s="41" t="s">
        <v>3141</v>
      </c>
      <c r="O274" s="41" t="s">
        <v>2367</v>
      </c>
      <c r="P274" s="41" t="s">
        <v>3140</v>
      </c>
      <c r="Q274" s="42" t="s">
        <v>1341</v>
      </c>
      <c r="V274" s="43">
        <v>1379</v>
      </c>
      <c r="W274" s="45" t="s">
        <v>1876</v>
      </c>
      <c r="X274" s="45" t="s">
        <v>860</v>
      </c>
      <c r="Y274" s="45" t="s">
        <v>1877</v>
      </c>
      <c r="Z274" s="45" t="s">
        <v>155</v>
      </c>
      <c r="AA274" s="45" t="s">
        <v>500</v>
      </c>
      <c r="AB274" s="44" t="s">
        <v>500</v>
      </c>
      <c r="AD274" s="46" t="s">
        <v>1089</v>
      </c>
      <c r="AE274" s="47" t="s">
        <v>767</v>
      </c>
    </row>
    <row r="275" spans="11:31" ht="17.25" customHeight="1" x14ac:dyDescent="0.25">
      <c r="K275" s="40" t="s">
        <v>694</v>
      </c>
      <c r="L275" s="41" t="s">
        <v>2626</v>
      </c>
      <c r="M275" s="41" t="s">
        <v>556</v>
      </c>
      <c r="N275" s="41" t="s">
        <v>3141</v>
      </c>
      <c r="O275" s="41" t="s">
        <v>2369</v>
      </c>
      <c r="P275" s="41" t="s">
        <v>3140</v>
      </c>
      <c r="Q275" s="42" t="s">
        <v>1341</v>
      </c>
      <c r="V275" s="43">
        <v>1392</v>
      </c>
      <c r="W275" s="45" t="s">
        <v>1878</v>
      </c>
      <c r="X275" s="45" t="s">
        <v>1023</v>
      </c>
      <c r="Y275" s="45" t="s">
        <v>1879</v>
      </c>
      <c r="Z275" s="45" t="s">
        <v>134</v>
      </c>
      <c r="AA275" s="45" t="s">
        <v>542</v>
      </c>
      <c r="AB275" s="44" t="s">
        <v>1341</v>
      </c>
      <c r="AD275" s="46" t="s">
        <v>1090</v>
      </c>
      <c r="AE275" s="47" t="s">
        <v>767</v>
      </c>
    </row>
    <row r="276" spans="11:31" ht="17.25" customHeight="1" x14ac:dyDescent="0.25">
      <c r="K276" s="40" t="s">
        <v>387</v>
      </c>
      <c r="L276" s="41" t="s">
        <v>2627</v>
      </c>
      <c r="M276" s="41" t="s">
        <v>542</v>
      </c>
      <c r="N276" s="41" t="s">
        <v>3141</v>
      </c>
      <c r="O276" s="41" t="s">
        <v>2367</v>
      </c>
      <c r="P276" s="41" t="s">
        <v>3140</v>
      </c>
      <c r="Q276" s="42" t="s">
        <v>1341</v>
      </c>
      <c r="V276" s="43">
        <v>1946</v>
      </c>
      <c r="W276" s="45" t="s">
        <v>1880</v>
      </c>
      <c r="X276" s="45" t="s">
        <v>1024</v>
      </c>
      <c r="Y276" s="45" t="s">
        <v>3121</v>
      </c>
      <c r="Z276" s="45" t="s">
        <v>777</v>
      </c>
      <c r="AA276" s="45" t="s">
        <v>541</v>
      </c>
      <c r="AB276" s="44" t="s">
        <v>1341</v>
      </c>
      <c r="AD276" s="46" t="s">
        <v>1091</v>
      </c>
      <c r="AE276" s="47" t="s">
        <v>767</v>
      </c>
    </row>
    <row r="277" spans="11:31" ht="17.25" customHeight="1" x14ac:dyDescent="0.25">
      <c r="K277" s="40" t="s">
        <v>331</v>
      </c>
      <c r="L277" s="41" t="s">
        <v>2628</v>
      </c>
      <c r="M277" s="41" t="s">
        <v>503</v>
      </c>
      <c r="N277" s="41" t="s">
        <v>3139</v>
      </c>
      <c r="O277" s="41" t="s">
        <v>2369</v>
      </c>
      <c r="P277" s="41" t="s">
        <v>3140</v>
      </c>
      <c r="Q277" s="42" t="s">
        <v>1341</v>
      </c>
      <c r="V277" s="43">
        <v>1494</v>
      </c>
      <c r="W277" s="45" t="s">
        <v>1881</v>
      </c>
      <c r="X277" s="45" t="s">
        <v>1120</v>
      </c>
      <c r="Y277" s="45" t="s">
        <v>1882</v>
      </c>
      <c r="Z277" s="45" t="s">
        <v>783</v>
      </c>
      <c r="AA277" s="45" t="s">
        <v>806</v>
      </c>
      <c r="AB277" s="44" t="s">
        <v>1342</v>
      </c>
      <c r="AD277" s="46" t="s">
        <v>1092</v>
      </c>
      <c r="AE277" s="47" t="s">
        <v>767</v>
      </c>
    </row>
    <row r="278" spans="11:31" ht="17.25" customHeight="1" x14ac:dyDescent="0.25">
      <c r="K278" s="40" t="s">
        <v>160</v>
      </c>
      <c r="L278" s="41" t="s">
        <v>2629</v>
      </c>
      <c r="M278" s="41" t="s">
        <v>558</v>
      </c>
      <c r="N278" s="41" t="s">
        <v>3139</v>
      </c>
      <c r="O278" s="41" t="s">
        <v>2367</v>
      </c>
      <c r="P278" s="41" t="s">
        <v>3140</v>
      </c>
      <c r="Q278" s="42" t="s">
        <v>1341</v>
      </c>
      <c r="V278" s="43">
        <v>2269</v>
      </c>
      <c r="W278" s="45" t="s">
        <v>1883</v>
      </c>
      <c r="X278" s="45" t="s">
        <v>1025</v>
      </c>
      <c r="Y278" s="45" t="s">
        <v>1884</v>
      </c>
      <c r="Z278" s="45" t="s">
        <v>107</v>
      </c>
      <c r="AA278" s="45" t="s">
        <v>545</v>
      </c>
      <c r="AB278" s="44" t="s">
        <v>1341</v>
      </c>
      <c r="AD278" s="46" t="s">
        <v>1093</v>
      </c>
      <c r="AE278" s="47" t="s">
        <v>767</v>
      </c>
    </row>
    <row r="279" spans="11:31" ht="17.25" customHeight="1" x14ac:dyDescent="0.25">
      <c r="K279" s="40" t="s">
        <v>339</v>
      </c>
      <c r="L279" s="41" t="s">
        <v>2630</v>
      </c>
      <c r="M279" s="41" t="s">
        <v>558</v>
      </c>
      <c r="N279" s="41" t="s">
        <v>3139</v>
      </c>
      <c r="O279" s="41" t="s">
        <v>2367</v>
      </c>
      <c r="P279" s="41" t="s">
        <v>3140</v>
      </c>
      <c r="Q279" s="42" t="s">
        <v>1341</v>
      </c>
      <c r="V279" s="43">
        <v>2303</v>
      </c>
      <c r="W279" s="45" t="s">
        <v>1885</v>
      </c>
      <c r="X279" s="45" t="s">
        <v>1196</v>
      </c>
      <c r="Y279" s="45" t="s">
        <v>1886</v>
      </c>
      <c r="Z279" s="45" t="s">
        <v>224</v>
      </c>
      <c r="AA279" s="45" t="s">
        <v>525</v>
      </c>
      <c r="AB279" s="44" t="s">
        <v>1343</v>
      </c>
      <c r="AD279" s="46" t="s">
        <v>1094</v>
      </c>
      <c r="AE279" s="47" t="s">
        <v>767</v>
      </c>
    </row>
    <row r="280" spans="11:31" ht="17.25" customHeight="1" x14ac:dyDescent="0.25">
      <c r="K280" s="40" t="s">
        <v>440</v>
      </c>
      <c r="L280" s="41" t="s">
        <v>2631</v>
      </c>
      <c r="M280" s="41" t="s">
        <v>553</v>
      </c>
      <c r="N280" s="41" t="s">
        <v>3139</v>
      </c>
      <c r="O280" s="41" t="s">
        <v>2367</v>
      </c>
      <c r="P280" s="41" t="s">
        <v>3140</v>
      </c>
      <c r="Q280" s="42" t="s">
        <v>1341</v>
      </c>
      <c r="V280" s="43">
        <v>1492</v>
      </c>
      <c r="W280" s="45" t="s">
        <v>1887</v>
      </c>
      <c r="X280" s="45" t="s">
        <v>1198</v>
      </c>
      <c r="Y280" s="45" t="s">
        <v>1888</v>
      </c>
      <c r="Z280" s="45" t="s">
        <v>695</v>
      </c>
      <c r="AA280" s="45" t="s">
        <v>521</v>
      </c>
      <c r="AB280" s="44" t="s">
        <v>1343</v>
      </c>
      <c r="AD280" s="46" t="s">
        <v>1095</v>
      </c>
      <c r="AE280" s="47" t="s">
        <v>767</v>
      </c>
    </row>
    <row r="281" spans="11:31" ht="17.25" customHeight="1" x14ac:dyDescent="0.25">
      <c r="K281" s="40" t="s">
        <v>169</v>
      </c>
      <c r="L281" s="41" t="s">
        <v>2632</v>
      </c>
      <c r="M281" s="41" t="s">
        <v>550</v>
      </c>
      <c r="N281" s="41" t="s">
        <v>3139</v>
      </c>
      <c r="O281" s="41" t="s">
        <v>2369</v>
      </c>
      <c r="P281" s="41" t="s">
        <v>3140</v>
      </c>
      <c r="Q281" s="42" t="s">
        <v>1341</v>
      </c>
      <c r="V281" s="43">
        <v>1889</v>
      </c>
      <c r="W281" s="45" t="s">
        <v>1889</v>
      </c>
      <c r="X281" s="45" t="s">
        <v>1026</v>
      </c>
      <c r="Y281" s="45" t="s">
        <v>1890</v>
      </c>
      <c r="Z281" s="45" t="s">
        <v>677</v>
      </c>
      <c r="AA281" s="45" t="s">
        <v>544</v>
      </c>
      <c r="AB281" s="44" t="s">
        <v>1341</v>
      </c>
      <c r="AD281" s="46" t="s">
        <v>1096</v>
      </c>
      <c r="AE281" s="47" t="s">
        <v>767</v>
      </c>
    </row>
    <row r="282" spans="11:31" ht="17.25" customHeight="1" x14ac:dyDescent="0.25">
      <c r="K282" s="40" t="s">
        <v>134</v>
      </c>
      <c r="L282" s="41" t="s">
        <v>2633</v>
      </c>
      <c r="M282" s="41" t="s">
        <v>542</v>
      </c>
      <c r="N282" s="41" t="s">
        <v>3141</v>
      </c>
      <c r="O282" s="41" t="s">
        <v>2367</v>
      </c>
      <c r="P282" s="41" t="s">
        <v>3140</v>
      </c>
      <c r="Q282" s="42" t="s">
        <v>1341</v>
      </c>
      <c r="V282" s="43">
        <v>2321</v>
      </c>
      <c r="W282" s="45" t="s">
        <v>1891</v>
      </c>
      <c r="X282" s="45" t="s">
        <v>1199</v>
      </c>
      <c r="Y282" s="45" t="s">
        <v>1892</v>
      </c>
      <c r="Z282" s="45" t="s">
        <v>287</v>
      </c>
      <c r="AA282" s="45" t="s">
        <v>528</v>
      </c>
      <c r="AB282" s="44" t="s">
        <v>1343</v>
      </c>
      <c r="AD282" s="46" t="s">
        <v>1097</v>
      </c>
      <c r="AE282" s="47" t="s">
        <v>767</v>
      </c>
    </row>
    <row r="283" spans="11:31" ht="17.25" customHeight="1" x14ac:dyDescent="0.25">
      <c r="K283" s="40" t="s">
        <v>401</v>
      </c>
      <c r="L283" s="41" t="s">
        <v>2634</v>
      </c>
      <c r="M283" s="41" t="s">
        <v>561</v>
      </c>
      <c r="N283" s="41" t="s">
        <v>3139</v>
      </c>
      <c r="O283" s="41" t="s">
        <v>2367</v>
      </c>
      <c r="P283" s="41" t="s">
        <v>3140</v>
      </c>
      <c r="Q283" s="42" t="s">
        <v>1341</v>
      </c>
      <c r="V283" s="43">
        <v>2334</v>
      </c>
      <c r="W283" s="45" t="s">
        <v>1893</v>
      </c>
      <c r="X283" s="45" t="s">
        <v>1200</v>
      </c>
      <c r="Y283" s="45" t="s">
        <v>1894</v>
      </c>
      <c r="Z283" s="45" t="s">
        <v>94</v>
      </c>
      <c r="AA283" s="45" t="s">
        <v>514</v>
      </c>
      <c r="AB283" s="44" t="s">
        <v>1343</v>
      </c>
      <c r="AD283" s="46" t="s">
        <v>1098</v>
      </c>
      <c r="AE283" s="47" t="s">
        <v>767</v>
      </c>
    </row>
    <row r="284" spans="11:31" ht="17.25" customHeight="1" x14ac:dyDescent="0.25">
      <c r="K284" s="40" t="s">
        <v>438</v>
      </c>
      <c r="L284" s="41" t="s">
        <v>2635</v>
      </c>
      <c r="M284" s="41" t="s">
        <v>550</v>
      </c>
      <c r="N284" s="41" t="s">
        <v>3139</v>
      </c>
      <c r="O284" s="41" t="s">
        <v>2369</v>
      </c>
      <c r="P284" s="41" t="s">
        <v>3140</v>
      </c>
      <c r="Q284" s="42" t="s">
        <v>1341</v>
      </c>
      <c r="V284" s="43">
        <v>1501</v>
      </c>
      <c r="W284" s="45" t="s">
        <v>1895</v>
      </c>
      <c r="X284" s="45" t="s">
        <v>1027</v>
      </c>
      <c r="Y284" s="45" t="s">
        <v>1896</v>
      </c>
      <c r="Z284" s="45" t="s">
        <v>347</v>
      </c>
      <c r="AA284" s="45" t="s">
        <v>544</v>
      </c>
      <c r="AB284" s="44" t="s">
        <v>1341</v>
      </c>
      <c r="AD284" s="46" t="s">
        <v>1099</v>
      </c>
      <c r="AE284" s="47" t="s">
        <v>767</v>
      </c>
    </row>
    <row r="285" spans="11:31" ht="17.25" customHeight="1" x14ac:dyDescent="0.25">
      <c r="K285" s="40" t="s">
        <v>366</v>
      </c>
      <c r="L285" s="41" t="s">
        <v>2636</v>
      </c>
      <c r="M285" s="41" t="s">
        <v>553</v>
      </c>
      <c r="N285" s="41" t="s">
        <v>3139</v>
      </c>
      <c r="O285" s="41" t="s">
        <v>2367</v>
      </c>
      <c r="P285" s="41" t="s">
        <v>3140</v>
      </c>
      <c r="Q285" s="42" t="s">
        <v>1341</v>
      </c>
      <c r="V285" s="43">
        <v>1247</v>
      </c>
      <c r="W285" s="45" t="s">
        <v>1897</v>
      </c>
      <c r="X285" s="45" t="s">
        <v>1028</v>
      </c>
      <c r="Y285" s="45" t="s">
        <v>1898</v>
      </c>
      <c r="Z285" s="45" t="s">
        <v>2312</v>
      </c>
      <c r="AA285" s="45" t="s">
        <v>544</v>
      </c>
      <c r="AB285" s="44" t="s">
        <v>1341</v>
      </c>
      <c r="AD285" s="46" t="s">
        <v>1100</v>
      </c>
      <c r="AE285" s="47" t="s">
        <v>767</v>
      </c>
    </row>
    <row r="286" spans="11:31" ht="17.25" customHeight="1" x14ac:dyDescent="0.25">
      <c r="K286" s="40" t="s">
        <v>600</v>
      </c>
      <c r="L286" s="41" t="s">
        <v>2637</v>
      </c>
      <c r="M286" s="41" t="s">
        <v>548</v>
      </c>
      <c r="N286" s="41" t="s">
        <v>3139</v>
      </c>
      <c r="O286" s="41" t="s">
        <v>2367</v>
      </c>
      <c r="P286" s="41" t="s">
        <v>3140</v>
      </c>
      <c r="Q286" s="42" t="s">
        <v>1341</v>
      </c>
      <c r="V286" s="43">
        <v>1360</v>
      </c>
      <c r="W286" s="45" t="s">
        <v>1899</v>
      </c>
      <c r="X286" s="45" t="s">
        <v>1029</v>
      </c>
      <c r="Y286" s="45" t="s">
        <v>1900</v>
      </c>
      <c r="Z286" s="45" t="s">
        <v>138</v>
      </c>
      <c r="AA286" s="45" t="s">
        <v>503</v>
      </c>
      <c r="AB286" s="44" t="s">
        <v>1341</v>
      </c>
      <c r="AD286" s="46" t="s">
        <v>1101</v>
      </c>
      <c r="AE286" s="47" t="s">
        <v>767</v>
      </c>
    </row>
    <row r="287" spans="11:31" ht="17.25" customHeight="1" x14ac:dyDescent="0.25">
      <c r="K287" s="40" t="s">
        <v>3364</v>
      </c>
      <c r="L287" s="41" t="s">
        <v>3386</v>
      </c>
      <c r="M287" s="41" t="s">
        <v>553</v>
      </c>
      <c r="N287" s="41" t="s">
        <v>3139</v>
      </c>
      <c r="O287" s="41" t="s">
        <v>2367</v>
      </c>
      <c r="P287" s="41" t="s">
        <v>3140</v>
      </c>
      <c r="Q287" s="42" t="s">
        <v>1341</v>
      </c>
      <c r="V287" s="43">
        <v>2381</v>
      </c>
      <c r="W287" s="45" t="s">
        <v>1901</v>
      </c>
      <c r="X287" s="45" t="s">
        <v>1201</v>
      </c>
      <c r="Y287" s="45" t="s">
        <v>1902</v>
      </c>
      <c r="Z287" s="45" t="s">
        <v>230</v>
      </c>
      <c r="AA287" s="45" t="s">
        <v>518</v>
      </c>
      <c r="AB287" s="44" t="s">
        <v>1343</v>
      </c>
      <c r="AD287" s="46" t="s">
        <v>1102</v>
      </c>
      <c r="AE287" s="47" t="s">
        <v>767</v>
      </c>
    </row>
    <row r="288" spans="11:31" ht="17.25" customHeight="1" x14ac:dyDescent="0.25">
      <c r="K288" s="40" t="s">
        <v>579</v>
      </c>
      <c r="L288" s="41" t="s">
        <v>2639</v>
      </c>
      <c r="M288" s="41" t="s">
        <v>565</v>
      </c>
      <c r="N288" s="41" t="s">
        <v>3139</v>
      </c>
      <c r="O288" s="41" t="s">
        <v>2367</v>
      </c>
      <c r="P288" s="41" t="s">
        <v>3140</v>
      </c>
      <c r="Q288" s="42" t="s">
        <v>1341</v>
      </c>
      <c r="V288" s="43">
        <v>2299</v>
      </c>
      <c r="W288" s="45" t="s">
        <v>1903</v>
      </c>
      <c r="X288" s="45" t="s">
        <v>1202</v>
      </c>
      <c r="Y288" s="45" t="s">
        <v>1904</v>
      </c>
      <c r="Z288" s="45" t="s">
        <v>227</v>
      </c>
      <c r="AA288" s="45" t="s">
        <v>517</v>
      </c>
      <c r="AB288" s="44" t="s">
        <v>1343</v>
      </c>
      <c r="AD288" s="46" t="s">
        <v>1103</v>
      </c>
      <c r="AE288" s="47" t="s">
        <v>767</v>
      </c>
    </row>
    <row r="289" spans="11:31" ht="17.25" customHeight="1" x14ac:dyDescent="0.25">
      <c r="K289" s="40" t="s">
        <v>367</v>
      </c>
      <c r="L289" s="41" t="s">
        <v>2640</v>
      </c>
      <c r="M289" s="41" t="s">
        <v>502</v>
      </c>
      <c r="N289" s="41" t="s">
        <v>3139</v>
      </c>
      <c r="O289" s="41" t="s">
        <v>2367</v>
      </c>
      <c r="P289" s="41" t="s">
        <v>3140</v>
      </c>
      <c r="Q289" s="42" t="s">
        <v>1341</v>
      </c>
      <c r="V289" s="43">
        <v>1455</v>
      </c>
      <c r="W289" s="45" t="s">
        <v>1905</v>
      </c>
      <c r="X289" s="45" t="s">
        <v>1030</v>
      </c>
      <c r="Y289" s="45" t="s">
        <v>1906</v>
      </c>
      <c r="Z289" s="45" t="s">
        <v>396</v>
      </c>
      <c r="AA289" s="45" t="s">
        <v>565</v>
      </c>
      <c r="AB289" s="44" t="s">
        <v>1341</v>
      </c>
      <c r="AD289" s="46" t="s">
        <v>1104</v>
      </c>
      <c r="AE289" s="47" t="s">
        <v>767</v>
      </c>
    </row>
    <row r="290" spans="11:31" ht="17.25" customHeight="1" x14ac:dyDescent="0.25">
      <c r="K290" s="40" t="s">
        <v>159</v>
      </c>
      <c r="L290" s="41" t="s">
        <v>2641</v>
      </c>
      <c r="M290" s="41" t="s">
        <v>543</v>
      </c>
      <c r="N290" s="41" t="s">
        <v>3139</v>
      </c>
      <c r="O290" s="41" t="s">
        <v>2367</v>
      </c>
      <c r="P290" s="41" t="s">
        <v>3140</v>
      </c>
      <c r="Q290" s="42" t="s">
        <v>1341</v>
      </c>
      <c r="V290" s="43">
        <v>1405</v>
      </c>
      <c r="W290" s="45" t="s">
        <v>1907</v>
      </c>
      <c r="X290" s="45" t="s">
        <v>1121</v>
      </c>
      <c r="Y290" s="45" t="s">
        <v>1908</v>
      </c>
      <c r="Z290" s="45" t="s">
        <v>314</v>
      </c>
      <c r="AA290" s="45" t="s">
        <v>539</v>
      </c>
      <c r="AB290" s="44" t="s">
        <v>1342</v>
      </c>
      <c r="AD290" s="46" t="s">
        <v>1105</v>
      </c>
      <c r="AE290" s="47" t="s">
        <v>767</v>
      </c>
    </row>
    <row r="291" spans="11:31" ht="17.25" customHeight="1" x14ac:dyDescent="0.25">
      <c r="K291" s="40" t="s">
        <v>494</v>
      </c>
      <c r="L291" s="41" t="s">
        <v>2642</v>
      </c>
      <c r="M291" s="41" t="s">
        <v>545</v>
      </c>
      <c r="N291" s="41" t="s">
        <v>3139</v>
      </c>
      <c r="O291" s="41" t="s">
        <v>2369</v>
      </c>
      <c r="P291" s="41" t="s">
        <v>3148</v>
      </c>
      <c r="Q291" s="42" t="s">
        <v>1341</v>
      </c>
      <c r="V291" s="43">
        <v>1427</v>
      </c>
      <c r="W291" s="45" t="s">
        <v>1909</v>
      </c>
      <c r="X291" s="45" t="s">
        <v>1255</v>
      </c>
      <c r="Y291" s="45" t="s">
        <v>1910</v>
      </c>
      <c r="Z291" s="45" t="s">
        <v>215</v>
      </c>
      <c r="AA291" s="45" t="s">
        <v>533</v>
      </c>
      <c r="AB291" s="44" t="s">
        <v>1343</v>
      </c>
      <c r="AD291" s="46" t="s">
        <v>1106</v>
      </c>
      <c r="AE291" s="47" t="s">
        <v>805</v>
      </c>
    </row>
    <row r="292" spans="11:31" ht="17.25" customHeight="1" x14ac:dyDescent="0.25">
      <c r="K292" s="40" t="s">
        <v>346</v>
      </c>
      <c r="L292" s="41" t="s">
        <v>2643</v>
      </c>
      <c r="M292" s="41" t="s">
        <v>713</v>
      </c>
      <c r="N292" s="41" t="s">
        <v>3141</v>
      </c>
      <c r="O292" s="41" t="s">
        <v>2369</v>
      </c>
      <c r="P292" s="41" t="s">
        <v>3148</v>
      </c>
      <c r="Q292" s="42" t="s">
        <v>1341</v>
      </c>
      <c r="V292" s="43">
        <v>1390</v>
      </c>
      <c r="W292" s="45" t="s">
        <v>1911</v>
      </c>
      <c r="X292" s="45" t="s">
        <v>1122</v>
      </c>
      <c r="Y292" s="45" t="s">
        <v>1912</v>
      </c>
      <c r="Z292" s="45" t="s">
        <v>2345</v>
      </c>
      <c r="AA292" s="45" t="s">
        <v>536</v>
      </c>
      <c r="AB292" s="44" t="s">
        <v>1342</v>
      </c>
      <c r="AD292" s="46" t="s">
        <v>1107</v>
      </c>
      <c r="AE292" s="47" t="s">
        <v>805</v>
      </c>
    </row>
    <row r="293" spans="11:31" ht="17.25" customHeight="1" x14ac:dyDescent="0.25">
      <c r="K293" s="40" t="s">
        <v>372</v>
      </c>
      <c r="L293" s="41" t="s">
        <v>2644</v>
      </c>
      <c r="M293" s="41" t="s">
        <v>561</v>
      </c>
      <c r="N293" s="41" t="s">
        <v>3139</v>
      </c>
      <c r="O293" s="41" t="s">
        <v>2367</v>
      </c>
      <c r="P293" s="41" t="s">
        <v>3140</v>
      </c>
      <c r="Q293" s="42" t="s">
        <v>1341</v>
      </c>
      <c r="V293" s="43">
        <v>1503</v>
      </c>
      <c r="W293" s="45" t="s">
        <v>1913</v>
      </c>
      <c r="X293" s="45" t="s">
        <v>1031</v>
      </c>
      <c r="Y293" s="45" t="s">
        <v>1914</v>
      </c>
      <c r="Z293" s="45" t="s">
        <v>342</v>
      </c>
      <c r="AA293" s="45" t="s">
        <v>548</v>
      </c>
      <c r="AB293" s="44" t="s">
        <v>1341</v>
      </c>
      <c r="AD293" s="46" t="s">
        <v>1108</v>
      </c>
      <c r="AE293" s="47" t="s">
        <v>805</v>
      </c>
    </row>
    <row r="294" spans="11:31" ht="17.25" customHeight="1" x14ac:dyDescent="0.25">
      <c r="K294" s="40" t="s">
        <v>353</v>
      </c>
      <c r="L294" s="41" t="s">
        <v>2645</v>
      </c>
      <c r="M294" s="41" t="s">
        <v>550</v>
      </c>
      <c r="N294" s="41" t="s">
        <v>3139</v>
      </c>
      <c r="O294" s="41" t="s">
        <v>2369</v>
      </c>
      <c r="P294" s="41" t="s">
        <v>3140</v>
      </c>
      <c r="Q294" s="42" t="s">
        <v>1341</v>
      </c>
      <c r="V294" s="43">
        <v>2380</v>
      </c>
      <c r="W294" s="45" t="s">
        <v>1915</v>
      </c>
      <c r="X294" s="45" t="s">
        <v>1203</v>
      </c>
      <c r="Y294" s="45" t="s">
        <v>1916</v>
      </c>
      <c r="Z294" s="45" t="s">
        <v>148</v>
      </c>
      <c r="AA294" s="45" t="s">
        <v>518</v>
      </c>
      <c r="AB294" s="44" t="s">
        <v>1343</v>
      </c>
      <c r="AD294" s="46" t="s">
        <v>1109</v>
      </c>
      <c r="AE294" s="47" t="s">
        <v>805</v>
      </c>
    </row>
    <row r="295" spans="11:31" ht="17.25" customHeight="1" x14ac:dyDescent="0.25">
      <c r="K295" s="40" t="s">
        <v>341</v>
      </c>
      <c r="L295" s="41" t="s">
        <v>2646</v>
      </c>
      <c r="M295" s="41" t="s">
        <v>546</v>
      </c>
      <c r="N295" s="41" t="s">
        <v>3139</v>
      </c>
      <c r="O295" s="41" t="s">
        <v>2369</v>
      </c>
      <c r="P295" s="41" t="s">
        <v>3140</v>
      </c>
      <c r="Q295" s="42" t="s">
        <v>1341</v>
      </c>
      <c r="V295" s="43">
        <v>2280</v>
      </c>
      <c r="W295" s="45" t="s">
        <v>1917</v>
      </c>
      <c r="X295" s="45" t="s">
        <v>1033</v>
      </c>
      <c r="Y295" s="45" t="s">
        <v>1918</v>
      </c>
      <c r="Z295" s="45" t="s">
        <v>346</v>
      </c>
      <c r="AA295" s="45" t="s">
        <v>713</v>
      </c>
      <c r="AB295" s="44" t="s">
        <v>1341</v>
      </c>
      <c r="AD295" s="46" t="s">
        <v>1110</v>
      </c>
      <c r="AE295" s="47" t="s">
        <v>805</v>
      </c>
    </row>
    <row r="296" spans="11:31" ht="17.25" customHeight="1" x14ac:dyDescent="0.25">
      <c r="K296" s="40" t="s">
        <v>437</v>
      </c>
      <c r="L296" s="41" t="s">
        <v>2647</v>
      </c>
      <c r="M296" s="41" t="s">
        <v>543</v>
      </c>
      <c r="N296" s="41" t="s">
        <v>3139</v>
      </c>
      <c r="O296" s="41" t="s">
        <v>2367</v>
      </c>
      <c r="P296" s="41" t="s">
        <v>3140</v>
      </c>
      <c r="Q296" s="42" t="s">
        <v>1341</v>
      </c>
      <c r="V296" s="43">
        <v>1507</v>
      </c>
      <c r="W296" s="45" t="s">
        <v>1919</v>
      </c>
      <c r="X296" s="45" t="s">
        <v>1034</v>
      </c>
      <c r="Y296" s="45" t="s">
        <v>1920</v>
      </c>
      <c r="Z296" s="45" t="s">
        <v>162</v>
      </c>
      <c r="AA296" s="45" t="s">
        <v>552</v>
      </c>
      <c r="AB296" s="44" t="s">
        <v>1341</v>
      </c>
      <c r="AD296" s="46" t="s">
        <v>1111</v>
      </c>
      <c r="AE296" s="47" t="s">
        <v>805</v>
      </c>
    </row>
    <row r="297" spans="11:31" ht="17.25" customHeight="1" x14ac:dyDescent="0.25">
      <c r="K297" s="40" t="s">
        <v>374</v>
      </c>
      <c r="L297" s="41" t="s">
        <v>2648</v>
      </c>
      <c r="M297" s="41" t="s">
        <v>557</v>
      </c>
      <c r="N297" s="41" t="s">
        <v>3139</v>
      </c>
      <c r="O297" s="41" t="s">
        <v>2369</v>
      </c>
      <c r="P297" s="41" t="s">
        <v>3140</v>
      </c>
      <c r="Q297" s="42" t="s">
        <v>1341</v>
      </c>
      <c r="V297" s="43">
        <v>1218</v>
      </c>
      <c r="W297" s="45" t="s">
        <v>1921</v>
      </c>
      <c r="X297" s="45" t="s">
        <v>1204</v>
      </c>
      <c r="Y297" s="45" t="s">
        <v>1922</v>
      </c>
      <c r="Z297" s="45" t="s">
        <v>2346</v>
      </c>
      <c r="AA297" s="45" t="s">
        <v>527</v>
      </c>
      <c r="AB297" s="44" t="s">
        <v>1343</v>
      </c>
      <c r="AD297" s="46" t="s">
        <v>1112</v>
      </c>
      <c r="AE297" s="47" t="s">
        <v>805</v>
      </c>
    </row>
    <row r="298" spans="11:31" ht="17.25" customHeight="1" x14ac:dyDescent="0.25">
      <c r="K298" s="40" t="s">
        <v>3355</v>
      </c>
      <c r="L298" s="41" t="s">
        <v>3367</v>
      </c>
      <c r="M298" s="41" t="s">
        <v>502</v>
      </c>
      <c r="N298" s="41" t="s">
        <v>3139</v>
      </c>
      <c r="O298" s="41" t="s">
        <v>2367</v>
      </c>
      <c r="P298" s="41" t="s">
        <v>3140</v>
      </c>
      <c r="Q298" s="42" t="s">
        <v>1341</v>
      </c>
      <c r="V298" s="43">
        <v>1529</v>
      </c>
      <c r="W298" s="45" t="s">
        <v>1923</v>
      </c>
      <c r="X298" s="45" t="s">
        <v>1205</v>
      </c>
      <c r="Y298" s="45" t="s">
        <v>1924</v>
      </c>
      <c r="Z298" s="45" t="s">
        <v>2346</v>
      </c>
      <c r="AA298" s="45" t="s">
        <v>527</v>
      </c>
      <c r="AB298" s="44" t="s">
        <v>1343</v>
      </c>
      <c r="AD298" s="46" t="s">
        <v>1113</v>
      </c>
      <c r="AE298" s="47" t="s">
        <v>805</v>
      </c>
    </row>
    <row r="299" spans="11:31" ht="17.25" customHeight="1" x14ac:dyDescent="0.25">
      <c r="K299" s="40" t="s">
        <v>650</v>
      </c>
      <c r="L299" s="41" t="s">
        <v>2650</v>
      </c>
      <c r="M299" s="41" t="s">
        <v>560</v>
      </c>
      <c r="N299" s="41" t="s">
        <v>3139</v>
      </c>
      <c r="O299" s="41" t="s">
        <v>2369</v>
      </c>
      <c r="P299" s="41" t="s">
        <v>3148</v>
      </c>
      <c r="Q299" s="42" t="s">
        <v>1341</v>
      </c>
      <c r="V299" s="43">
        <v>2278</v>
      </c>
      <c r="W299" s="45" t="s">
        <v>1925</v>
      </c>
      <c r="X299" s="45" t="s">
        <v>1035</v>
      </c>
      <c r="Y299" s="45" t="s">
        <v>1926</v>
      </c>
      <c r="Z299" s="45" t="s">
        <v>160</v>
      </c>
      <c r="AA299" s="45" t="s">
        <v>558</v>
      </c>
      <c r="AB299" s="44" t="s">
        <v>1341</v>
      </c>
      <c r="AD299" s="46" t="s">
        <v>1114</v>
      </c>
      <c r="AE299" s="47" t="s">
        <v>805</v>
      </c>
    </row>
    <row r="300" spans="11:31" ht="17.25" customHeight="1" x14ac:dyDescent="0.25">
      <c r="K300" s="40" t="s">
        <v>340</v>
      </c>
      <c r="L300" s="41" t="s">
        <v>2651</v>
      </c>
      <c r="M300" s="41" t="s">
        <v>563</v>
      </c>
      <c r="N300" s="41" t="s">
        <v>3139</v>
      </c>
      <c r="O300" s="41" t="s">
        <v>2367</v>
      </c>
      <c r="P300" s="41" t="s">
        <v>3140</v>
      </c>
      <c r="Q300" s="42" t="s">
        <v>1341</v>
      </c>
      <c r="V300" s="43">
        <v>1302</v>
      </c>
      <c r="W300" s="45" t="s">
        <v>1927</v>
      </c>
      <c r="X300" s="45" t="s">
        <v>928</v>
      </c>
      <c r="Y300" s="45" t="s">
        <v>1928</v>
      </c>
      <c r="Z300" s="45" t="s">
        <v>761</v>
      </c>
      <c r="AA300" s="45" t="s">
        <v>507</v>
      </c>
      <c r="AB300" s="44" t="s">
        <v>15</v>
      </c>
      <c r="AD300" s="46" t="s">
        <v>1115</v>
      </c>
      <c r="AE300" s="47" t="s">
        <v>805</v>
      </c>
    </row>
    <row r="301" spans="11:31" ht="17.25" customHeight="1" x14ac:dyDescent="0.25">
      <c r="K301" s="40" t="s">
        <v>594</v>
      </c>
      <c r="L301" s="41" t="s">
        <v>2652</v>
      </c>
      <c r="M301" s="41" t="s">
        <v>557</v>
      </c>
      <c r="N301" s="41" t="s">
        <v>3139</v>
      </c>
      <c r="O301" s="41" t="s">
        <v>2369</v>
      </c>
      <c r="P301" s="41" t="s">
        <v>3140</v>
      </c>
      <c r="Q301" s="42" t="s">
        <v>1341</v>
      </c>
      <c r="V301" s="43">
        <v>2314</v>
      </c>
      <c r="W301" s="45" t="s">
        <v>1929</v>
      </c>
      <c r="X301" s="45" t="s">
        <v>1036</v>
      </c>
      <c r="Y301" s="45" t="s">
        <v>1930</v>
      </c>
      <c r="Z301" s="45" t="s">
        <v>334</v>
      </c>
      <c r="AA301" s="45" t="s">
        <v>540</v>
      </c>
      <c r="AB301" s="44" t="s">
        <v>1341</v>
      </c>
      <c r="AD301" s="46" t="s">
        <v>1116</v>
      </c>
      <c r="AE301" s="47" t="s">
        <v>805</v>
      </c>
    </row>
    <row r="302" spans="11:31" ht="17.25" customHeight="1" x14ac:dyDescent="0.25">
      <c r="K302" s="40" t="s">
        <v>140</v>
      </c>
      <c r="L302" s="41" t="s">
        <v>2653</v>
      </c>
      <c r="M302" s="41" t="s">
        <v>713</v>
      </c>
      <c r="N302" s="41" t="s">
        <v>3139</v>
      </c>
      <c r="O302" s="41" t="s">
        <v>2369</v>
      </c>
      <c r="P302" s="41" t="s">
        <v>3148</v>
      </c>
      <c r="Q302" s="42" t="s">
        <v>1341</v>
      </c>
      <c r="V302" s="43">
        <v>2313</v>
      </c>
      <c r="W302" s="45" t="s">
        <v>1931</v>
      </c>
      <c r="X302" s="45" t="s">
        <v>1037</v>
      </c>
      <c r="Y302" s="45" t="s">
        <v>1932</v>
      </c>
      <c r="Z302" s="45" t="s">
        <v>363</v>
      </c>
      <c r="AA302" s="45" t="s">
        <v>555</v>
      </c>
      <c r="AB302" s="44" t="s">
        <v>1341</v>
      </c>
      <c r="AD302" s="46" t="s">
        <v>1117</v>
      </c>
      <c r="AE302" s="47" t="s">
        <v>805</v>
      </c>
    </row>
    <row r="303" spans="11:31" ht="17.25" customHeight="1" x14ac:dyDescent="0.25">
      <c r="K303" s="40" t="s">
        <v>396</v>
      </c>
      <c r="L303" s="41" t="s">
        <v>2654</v>
      </c>
      <c r="M303" s="41" t="s">
        <v>565</v>
      </c>
      <c r="N303" s="41" t="s">
        <v>3139</v>
      </c>
      <c r="O303" s="41" t="s">
        <v>2367</v>
      </c>
      <c r="P303" s="41" t="s">
        <v>3140</v>
      </c>
      <c r="Q303" s="42" t="s">
        <v>1341</v>
      </c>
      <c r="V303" s="43">
        <v>1426</v>
      </c>
      <c r="W303" s="45" t="s">
        <v>1933</v>
      </c>
      <c r="X303" s="45" t="s">
        <v>1038</v>
      </c>
      <c r="Y303" s="45" t="s">
        <v>1934</v>
      </c>
      <c r="Z303" s="45" t="s">
        <v>332</v>
      </c>
      <c r="AA303" s="45" t="s">
        <v>543</v>
      </c>
      <c r="AB303" s="44" t="s">
        <v>1341</v>
      </c>
      <c r="AD303" s="46" t="s">
        <v>1118</v>
      </c>
      <c r="AE303" s="47" t="s">
        <v>805</v>
      </c>
    </row>
    <row r="304" spans="11:31" ht="17.25" customHeight="1" x14ac:dyDescent="0.25">
      <c r="K304" s="40" t="s">
        <v>166</v>
      </c>
      <c r="L304" s="41" t="s">
        <v>2655</v>
      </c>
      <c r="M304" s="41" t="s">
        <v>558</v>
      </c>
      <c r="N304" s="41" t="s">
        <v>3139</v>
      </c>
      <c r="O304" s="41" t="s">
        <v>2367</v>
      </c>
      <c r="P304" s="41" t="s">
        <v>3140</v>
      </c>
      <c r="Q304" s="42" t="s">
        <v>1341</v>
      </c>
      <c r="V304" s="43">
        <v>1425</v>
      </c>
      <c r="W304" s="45" t="s">
        <v>1935</v>
      </c>
      <c r="X304" s="45" t="s">
        <v>1039</v>
      </c>
      <c r="Y304" s="45" t="s">
        <v>1936</v>
      </c>
      <c r="Z304" s="45" t="s">
        <v>327</v>
      </c>
      <c r="AA304" s="45" t="s">
        <v>563</v>
      </c>
      <c r="AB304" s="44" t="s">
        <v>1341</v>
      </c>
      <c r="AD304" s="46" t="s">
        <v>1119</v>
      </c>
      <c r="AE304" s="47" t="s">
        <v>805</v>
      </c>
    </row>
    <row r="305" spans="11:31" ht="17.25" customHeight="1" x14ac:dyDescent="0.25">
      <c r="K305" s="40" t="s">
        <v>371</v>
      </c>
      <c r="L305" s="41" t="s">
        <v>2656</v>
      </c>
      <c r="M305" s="41" t="s">
        <v>546</v>
      </c>
      <c r="N305" s="41" t="s">
        <v>3139</v>
      </c>
      <c r="O305" s="41" t="s">
        <v>2369</v>
      </c>
      <c r="P305" s="41" t="s">
        <v>3140</v>
      </c>
      <c r="Q305" s="42" t="s">
        <v>1341</v>
      </c>
      <c r="V305" s="43">
        <v>1342</v>
      </c>
      <c r="W305" s="45" t="s">
        <v>1937</v>
      </c>
      <c r="X305" s="45" t="s">
        <v>1207</v>
      </c>
      <c r="Y305" s="45" t="s">
        <v>1938</v>
      </c>
      <c r="Z305" s="45" t="s">
        <v>271</v>
      </c>
      <c r="AA305" s="45" t="s">
        <v>518</v>
      </c>
      <c r="AB305" s="44" t="s">
        <v>1343</v>
      </c>
      <c r="AD305" s="46" t="s">
        <v>1120</v>
      </c>
      <c r="AE305" s="47" t="s">
        <v>805</v>
      </c>
    </row>
    <row r="306" spans="11:31" ht="17.25" customHeight="1" x14ac:dyDescent="0.25">
      <c r="K306" s="40" t="s">
        <v>175</v>
      </c>
      <c r="L306" s="41" t="s">
        <v>2657</v>
      </c>
      <c r="M306" s="41" t="s">
        <v>564</v>
      </c>
      <c r="N306" s="41" t="s">
        <v>3139</v>
      </c>
      <c r="O306" s="41" t="s">
        <v>2367</v>
      </c>
      <c r="P306" s="41" t="s">
        <v>3140</v>
      </c>
      <c r="Q306" s="42" t="s">
        <v>1341</v>
      </c>
      <c r="V306" s="43">
        <v>1367</v>
      </c>
      <c r="W306" s="45" t="s">
        <v>1939</v>
      </c>
      <c r="X306" s="45" t="s">
        <v>1040</v>
      </c>
      <c r="Y306" s="45" t="s">
        <v>1940</v>
      </c>
      <c r="Z306" s="45" t="s">
        <v>364</v>
      </c>
      <c r="AA306" s="45" t="s">
        <v>540</v>
      </c>
      <c r="AB306" s="44" t="s">
        <v>1341</v>
      </c>
      <c r="AD306" s="46" t="s">
        <v>1121</v>
      </c>
      <c r="AE306" s="47" t="s">
        <v>805</v>
      </c>
    </row>
    <row r="307" spans="11:31" ht="17.25" customHeight="1" x14ac:dyDescent="0.25">
      <c r="K307" s="40" t="s">
        <v>342</v>
      </c>
      <c r="L307" s="41" t="s">
        <v>2658</v>
      </c>
      <c r="M307" s="41" t="s">
        <v>548</v>
      </c>
      <c r="N307" s="41" t="s">
        <v>3141</v>
      </c>
      <c r="O307" s="41" t="s">
        <v>2367</v>
      </c>
      <c r="P307" s="41" t="s">
        <v>3140</v>
      </c>
      <c r="Q307" s="42" t="s">
        <v>1341</v>
      </c>
      <c r="V307" s="43">
        <v>1519</v>
      </c>
      <c r="W307" s="45" t="s">
        <v>1941</v>
      </c>
      <c r="X307" s="45" t="s">
        <v>1041</v>
      </c>
      <c r="Y307" s="45" t="s">
        <v>1942</v>
      </c>
      <c r="Z307" s="45" t="s">
        <v>336</v>
      </c>
      <c r="AA307" s="45" t="s">
        <v>546</v>
      </c>
      <c r="AB307" s="44" t="s">
        <v>1341</v>
      </c>
      <c r="AD307" s="46" t="s">
        <v>1122</v>
      </c>
      <c r="AE307" s="47" t="s">
        <v>805</v>
      </c>
    </row>
    <row r="308" spans="11:31" ht="17.25" customHeight="1" x14ac:dyDescent="0.25">
      <c r="K308" s="40" t="s">
        <v>432</v>
      </c>
      <c r="L308" s="41" t="s">
        <v>2659</v>
      </c>
      <c r="M308" s="41" t="s">
        <v>543</v>
      </c>
      <c r="N308" s="41" t="s">
        <v>3139</v>
      </c>
      <c r="O308" s="41" t="s">
        <v>2367</v>
      </c>
      <c r="P308" s="41" t="s">
        <v>3140</v>
      </c>
      <c r="Q308" s="42" t="s">
        <v>1341</v>
      </c>
      <c r="V308" s="43">
        <v>1310</v>
      </c>
      <c r="W308" s="45" t="s">
        <v>1943</v>
      </c>
      <c r="X308" s="45" t="s">
        <v>1042</v>
      </c>
      <c r="Y308" s="45" t="s">
        <v>1944</v>
      </c>
      <c r="Z308" s="45" t="s">
        <v>776</v>
      </c>
      <c r="AA308" s="45" t="s">
        <v>541</v>
      </c>
      <c r="AB308" s="44" t="s">
        <v>1341</v>
      </c>
      <c r="AD308" s="46" t="s">
        <v>1123</v>
      </c>
      <c r="AE308" s="47" t="s">
        <v>805</v>
      </c>
    </row>
    <row r="309" spans="11:31" ht="17.25" customHeight="1" x14ac:dyDescent="0.25">
      <c r="K309" s="40" t="s">
        <v>398</v>
      </c>
      <c r="L309" s="41" t="s">
        <v>2660</v>
      </c>
      <c r="M309" s="41" t="s">
        <v>548</v>
      </c>
      <c r="N309" s="41" t="s">
        <v>3139</v>
      </c>
      <c r="O309" s="41" t="s">
        <v>2367</v>
      </c>
      <c r="P309" s="41" t="s">
        <v>3140</v>
      </c>
      <c r="Q309" s="42" t="s">
        <v>1341</v>
      </c>
      <c r="V309" s="43">
        <v>1435</v>
      </c>
      <c r="W309" s="45" t="s">
        <v>1945</v>
      </c>
      <c r="X309" s="45" t="s">
        <v>1043</v>
      </c>
      <c r="Y309" s="45" t="s">
        <v>1946</v>
      </c>
      <c r="Z309" s="45" t="s">
        <v>657</v>
      </c>
      <c r="AA309" s="45" t="s">
        <v>551</v>
      </c>
      <c r="AB309" s="44" t="s">
        <v>1341</v>
      </c>
      <c r="AD309" s="46" t="s">
        <v>1124</v>
      </c>
      <c r="AE309" s="47" t="s">
        <v>805</v>
      </c>
    </row>
    <row r="310" spans="11:31" ht="17.25" customHeight="1" x14ac:dyDescent="0.25">
      <c r="K310" s="40" t="s">
        <v>569</v>
      </c>
      <c r="L310" s="41" t="s">
        <v>2661</v>
      </c>
      <c r="M310" s="41" t="s">
        <v>553</v>
      </c>
      <c r="N310" s="41" t="s">
        <v>3139</v>
      </c>
      <c r="O310" s="41" t="s">
        <v>2367</v>
      </c>
      <c r="P310" s="41" t="s">
        <v>3140</v>
      </c>
      <c r="Q310" s="42" t="s">
        <v>1341</v>
      </c>
      <c r="V310" s="43">
        <v>1932</v>
      </c>
      <c r="W310" s="45" t="s">
        <v>1947</v>
      </c>
      <c r="X310" s="45" t="s">
        <v>1044</v>
      </c>
      <c r="Y310" s="45" t="s">
        <v>1948</v>
      </c>
      <c r="Z310" s="45" t="s">
        <v>501</v>
      </c>
      <c r="AA310" s="45" t="s">
        <v>550</v>
      </c>
      <c r="AB310" s="44" t="s">
        <v>1341</v>
      </c>
      <c r="AD310" s="46" t="s">
        <v>1125</v>
      </c>
      <c r="AE310" s="47" t="s">
        <v>805</v>
      </c>
    </row>
    <row r="311" spans="11:31" ht="17.25" customHeight="1" x14ac:dyDescent="0.25">
      <c r="K311" s="40" t="s">
        <v>363</v>
      </c>
      <c r="L311" s="41" t="s">
        <v>2662</v>
      </c>
      <c r="M311" s="41" t="s">
        <v>555</v>
      </c>
      <c r="N311" s="41" t="s">
        <v>3139</v>
      </c>
      <c r="O311" s="41" t="s">
        <v>2367</v>
      </c>
      <c r="P311" s="41" t="s">
        <v>3140</v>
      </c>
      <c r="Q311" s="42" t="s">
        <v>1341</v>
      </c>
      <c r="V311" s="43">
        <v>2409</v>
      </c>
      <c r="W311" s="45" t="s">
        <v>1949</v>
      </c>
      <c r="X311" s="45" t="s">
        <v>1208</v>
      </c>
      <c r="Y311" s="45" t="s">
        <v>1950</v>
      </c>
      <c r="Z311" s="45" t="s">
        <v>2346</v>
      </c>
      <c r="AA311" s="45" t="s">
        <v>527</v>
      </c>
      <c r="AB311" s="44" t="s">
        <v>1343</v>
      </c>
      <c r="AD311" s="46" t="s">
        <v>1126</v>
      </c>
      <c r="AE311" s="47" t="s">
        <v>805</v>
      </c>
    </row>
    <row r="312" spans="11:31" ht="17.25" customHeight="1" x14ac:dyDescent="0.25">
      <c r="K312" s="40" t="s">
        <v>393</v>
      </c>
      <c r="L312" s="41" t="s">
        <v>2663</v>
      </c>
      <c r="M312" s="41" t="s">
        <v>563</v>
      </c>
      <c r="N312" s="41" t="s">
        <v>3141</v>
      </c>
      <c r="O312" s="41" t="s">
        <v>2367</v>
      </c>
      <c r="P312" s="41" t="s">
        <v>3140</v>
      </c>
      <c r="Q312" s="42" t="s">
        <v>1341</v>
      </c>
      <c r="V312" s="43">
        <v>1896</v>
      </c>
      <c r="W312" s="45" t="s">
        <v>1951</v>
      </c>
      <c r="X312" s="45" t="s">
        <v>1045</v>
      </c>
      <c r="Y312" s="45" t="s">
        <v>1952</v>
      </c>
      <c r="Z312" s="45" t="s">
        <v>487</v>
      </c>
      <c r="AA312" s="45" t="s">
        <v>557</v>
      </c>
      <c r="AB312" s="44" t="s">
        <v>1341</v>
      </c>
      <c r="AD312" s="46" t="s">
        <v>1127</v>
      </c>
      <c r="AE312" s="47" t="s">
        <v>805</v>
      </c>
    </row>
    <row r="313" spans="11:31" ht="17.25" customHeight="1" x14ac:dyDescent="0.25">
      <c r="K313" s="40" t="s">
        <v>1345</v>
      </c>
      <c r="L313" s="41" t="s">
        <v>2664</v>
      </c>
      <c r="M313" s="41" t="s">
        <v>550</v>
      </c>
      <c r="N313" s="41" t="s">
        <v>3139</v>
      </c>
      <c r="O313" s="41" t="s">
        <v>2369</v>
      </c>
      <c r="P313" s="41" t="s">
        <v>3140</v>
      </c>
      <c r="Q313" s="42" t="s">
        <v>1341</v>
      </c>
      <c r="V313" s="43">
        <v>1133</v>
      </c>
      <c r="W313" s="45" t="s">
        <v>1953</v>
      </c>
      <c r="X313" s="45" t="s">
        <v>1249</v>
      </c>
      <c r="Y313" s="45" t="s">
        <v>1954</v>
      </c>
      <c r="Z313" s="45" t="s">
        <v>2347</v>
      </c>
      <c r="AA313" s="45" t="s">
        <v>532</v>
      </c>
      <c r="AB313" s="44" t="s">
        <v>1343</v>
      </c>
      <c r="AD313" s="46" t="s">
        <v>1128</v>
      </c>
      <c r="AE313" s="47" t="s">
        <v>805</v>
      </c>
    </row>
    <row r="314" spans="11:31" ht="17.25" customHeight="1" x14ac:dyDescent="0.25">
      <c r="K314" s="40" t="s">
        <v>486</v>
      </c>
      <c r="L314" s="41" t="s">
        <v>2665</v>
      </c>
      <c r="M314" s="41" t="s">
        <v>547</v>
      </c>
      <c r="N314" s="41" t="s">
        <v>3139</v>
      </c>
      <c r="O314" s="41" t="s">
        <v>2369</v>
      </c>
      <c r="P314" s="41" t="s">
        <v>3140</v>
      </c>
      <c r="Q314" s="42" t="s">
        <v>1341</v>
      </c>
      <c r="V314" s="43">
        <v>2300</v>
      </c>
      <c r="W314" s="45" t="s">
        <v>1955</v>
      </c>
      <c r="X314" s="45" t="s">
        <v>1956</v>
      </c>
      <c r="Y314" s="45" t="s">
        <v>1957</v>
      </c>
      <c r="Z314" s="45" t="s">
        <v>172</v>
      </c>
      <c r="AA314" s="45" t="s">
        <v>531</v>
      </c>
      <c r="AB314" s="44" t="s">
        <v>1343</v>
      </c>
      <c r="AD314" s="46" t="s">
        <v>1129</v>
      </c>
      <c r="AE314" s="47" t="s">
        <v>805</v>
      </c>
    </row>
    <row r="315" spans="11:31" ht="17.25" customHeight="1" x14ac:dyDescent="0.25">
      <c r="K315" s="40" t="s">
        <v>397</v>
      </c>
      <c r="L315" s="41" t="s">
        <v>2666</v>
      </c>
      <c r="M315" s="41" t="s">
        <v>553</v>
      </c>
      <c r="N315" s="41" t="s">
        <v>3139</v>
      </c>
      <c r="O315" s="41" t="s">
        <v>2367</v>
      </c>
      <c r="P315" s="41" t="s">
        <v>3140</v>
      </c>
      <c r="Q315" s="42" t="s">
        <v>1341</v>
      </c>
      <c r="V315" s="43">
        <v>2309</v>
      </c>
      <c r="W315" s="45" t="s">
        <v>1958</v>
      </c>
      <c r="X315" s="45" t="s">
        <v>1046</v>
      </c>
      <c r="Y315" s="45" t="s">
        <v>1959</v>
      </c>
      <c r="Z315" s="45" t="s">
        <v>361</v>
      </c>
      <c r="AA315" s="45" t="s">
        <v>551</v>
      </c>
      <c r="AB315" s="44" t="s">
        <v>1341</v>
      </c>
      <c r="AD315" s="46" t="s">
        <v>1130</v>
      </c>
      <c r="AE315" s="47" t="s">
        <v>805</v>
      </c>
    </row>
    <row r="316" spans="11:31" ht="17.25" customHeight="1" x14ac:dyDescent="0.25">
      <c r="K316" s="40" t="s">
        <v>388</v>
      </c>
      <c r="L316" s="41" t="s">
        <v>2667</v>
      </c>
      <c r="M316" s="41" t="s">
        <v>563</v>
      </c>
      <c r="N316" s="41" t="s">
        <v>3139</v>
      </c>
      <c r="O316" s="41" t="s">
        <v>2367</v>
      </c>
      <c r="P316" s="41" t="s">
        <v>3140</v>
      </c>
      <c r="Q316" s="42" t="s">
        <v>1341</v>
      </c>
      <c r="V316" s="43">
        <v>2349</v>
      </c>
      <c r="W316" s="45" t="s">
        <v>1960</v>
      </c>
      <c r="X316" s="45" t="s">
        <v>1047</v>
      </c>
      <c r="Y316" s="45" t="s">
        <v>1961</v>
      </c>
      <c r="Z316" s="45" t="s">
        <v>407</v>
      </c>
      <c r="AA316" s="45" t="s">
        <v>551</v>
      </c>
      <c r="AB316" s="44" t="s">
        <v>1341</v>
      </c>
      <c r="AD316" s="46" t="s">
        <v>1131</v>
      </c>
      <c r="AE316" s="47" t="s">
        <v>805</v>
      </c>
    </row>
    <row r="317" spans="11:31" ht="17.25" customHeight="1" x14ac:dyDescent="0.25">
      <c r="K317" s="40" t="s">
        <v>474</v>
      </c>
      <c r="L317" s="41" t="s">
        <v>2668</v>
      </c>
      <c r="M317" s="41" t="s">
        <v>542</v>
      </c>
      <c r="N317" s="41" t="s">
        <v>3141</v>
      </c>
      <c r="O317" s="41" t="s">
        <v>2367</v>
      </c>
      <c r="P317" s="41" t="s">
        <v>3140</v>
      </c>
      <c r="Q317" s="42" t="s">
        <v>1341</v>
      </c>
      <c r="V317" s="43">
        <v>1897</v>
      </c>
      <c r="W317" s="45" t="s">
        <v>1962</v>
      </c>
      <c r="X317" s="45" t="s">
        <v>1048</v>
      </c>
      <c r="Y317" s="45" t="s">
        <v>1963</v>
      </c>
      <c r="Z317" s="45" t="s">
        <v>360</v>
      </c>
      <c r="AA317" s="45" t="s">
        <v>548</v>
      </c>
      <c r="AB317" s="44" t="s">
        <v>1341</v>
      </c>
      <c r="AD317" s="46" t="s">
        <v>799</v>
      </c>
      <c r="AE317" s="47" t="s">
        <v>805</v>
      </c>
    </row>
    <row r="318" spans="11:31" ht="17.25" customHeight="1" x14ac:dyDescent="0.25">
      <c r="K318" s="40" t="s">
        <v>632</v>
      </c>
      <c r="L318" s="41" t="s">
        <v>2669</v>
      </c>
      <c r="M318" s="41" t="s">
        <v>542</v>
      </c>
      <c r="N318" s="41" t="s">
        <v>3141</v>
      </c>
      <c r="O318" s="41" t="s">
        <v>2367</v>
      </c>
      <c r="P318" s="41" t="s">
        <v>3140</v>
      </c>
      <c r="Q318" s="42" t="s">
        <v>1341</v>
      </c>
      <c r="V318" s="43">
        <v>2320</v>
      </c>
      <c r="W318" s="45" t="s">
        <v>1964</v>
      </c>
      <c r="X318" s="45" t="s">
        <v>1123</v>
      </c>
      <c r="Y318" s="45" t="s">
        <v>1965</v>
      </c>
      <c r="Z318" s="45" t="s">
        <v>2348</v>
      </c>
      <c r="AA318" s="45" t="s">
        <v>539</v>
      </c>
      <c r="AB318" s="44" t="s">
        <v>1342</v>
      </c>
      <c r="AD318" s="46" t="s">
        <v>799</v>
      </c>
      <c r="AE318" s="47" t="s">
        <v>805</v>
      </c>
    </row>
    <row r="319" spans="11:31" ht="17.25" customHeight="1" x14ac:dyDescent="0.25">
      <c r="K319" s="40" t="s">
        <v>439</v>
      </c>
      <c r="L319" s="41" t="s">
        <v>2670</v>
      </c>
      <c r="M319" s="41" t="s">
        <v>565</v>
      </c>
      <c r="N319" s="41" t="s">
        <v>3139</v>
      </c>
      <c r="O319" s="41" t="s">
        <v>2367</v>
      </c>
      <c r="P319" s="41" t="s">
        <v>3140</v>
      </c>
      <c r="Q319" s="42" t="s">
        <v>1341</v>
      </c>
      <c r="V319" s="43">
        <v>2311</v>
      </c>
      <c r="W319" s="45" t="s">
        <v>1966</v>
      </c>
      <c r="X319" s="45" t="s">
        <v>1049</v>
      </c>
      <c r="Y319" s="45" t="s">
        <v>1967</v>
      </c>
      <c r="Z319" s="45" t="s">
        <v>651</v>
      </c>
      <c r="AA319" s="45" t="s">
        <v>547</v>
      </c>
      <c r="AB319" s="44" t="s">
        <v>1341</v>
      </c>
      <c r="AD319" s="46" t="s">
        <v>1132</v>
      </c>
      <c r="AE319" s="47" t="s">
        <v>802</v>
      </c>
    </row>
    <row r="320" spans="11:31" ht="17.25" customHeight="1" x14ac:dyDescent="0.25">
      <c r="K320" s="40" t="s">
        <v>344</v>
      </c>
      <c r="L320" s="41" t="s">
        <v>2671</v>
      </c>
      <c r="M320" s="41" t="s">
        <v>564</v>
      </c>
      <c r="N320" s="41" t="s">
        <v>3139</v>
      </c>
      <c r="O320" s="41" t="s">
        <v>2367</v>
      </c>
      <c r="P320" s="41" t="s">
        <v>3140</v>
      </c>
      <c r="Q320" s="42" t="s">
        <v>1341</v>
      </c>
      <c r="V320" s="43">
        <v>1892</v>
      </c>
      <c r="W320" s="45" t="s">
        <v>1968</v>
      </c>
      <c r="X320" s="45" t="s">
        <v>1209</v>
      </c>
      <c r="Y320" s="45" t="s">
        <v>1969</v>
      </c>
      <c r="Z320" s="45" t="s">
        <v>234</v>
      </c>
      <c r="AA320" s="45" t="s">
        <v>527</v>
      </c>
      <c r="AB320" s="44" t="s">
        <v>1343</v>
      </c>
      <c r="AD320" s="46" t="s">
        <v>1133</v>
      </c>
      <c r="AE320" s="47" t="s">
        <v>802</v>
      </c>
    </row>
    <row r="321" spans="11:31" ht="17.25" customHeight="1" x14ac:dyDescent="0.25">
      <c r="K321" s="40" t="s">
        <v>399</v>
      </c>
      <c r="L321" s="41" t="s">
        <v>2672</v>
      </c>
      <c r="M321" s="41" t="s">
        <v>564</v>
      </c>
      <c r="N321" s="41" t="s">
        <v>3139</v>
      </c>
      <c r="O321" s="41" t="s">
        <v>2367</v>
      </c>
      <c r="P321" s="41" t="s">
        <v>3140</v>
      </c>
      <c r="Q321" s="42" t="s">
        <v>1341</v>
      </c>
      <c r="V321" s="43">
        <v>1481</v>
      </c>
      <c r="W321" s="45" t="s">
        <v>1970</v>
      </c>
      <c r="X321" s="45" t="s">
        <v>1124</v>
      </c>
      <c r="Y321" s="45" t="s">
        <v>1971</v>
      </c>
      <c r="Z321" s="45" t="s">
        <v>302</v>
      </c>
      <c r="AA321" s="45" t="s">
        <v>538</v>
      </c>
      <c r="AB321" s="44" t="s">
        <v>1342</v>
      </c>
      <c r="AD321" s="46" t="s">
        <v>1134</v>
      </c>
      <c r="AE321" s="47" t="s">
        <v>802</v>
      </c>
    </row>
    <row r="322" spans="11:31" ht="17.25" customHeight="1" x14ac:dyDescent="0.25">
      <c r="K322" s="40" t="s">
        <v>359</v>
      </c>
      <c r="L322" s="41" t="s">
        <v>2673</v>
      </c>
      <c r="M322" s="41" t="s">
        <v>563</v>
      </c>
      <c r="N322" s="41" t="s">
        <v>3139</v>
      </c>
      <c r="O322" s="41" t="s">
        <v>2367</v>
      </c>
      <c r="P322" s="41" t="s">
        <v>3140</v>
      </c>
      <c r="Q322" s="42" t="s">
        <v>1341</v>
      </c>
      <c r="V322" s="43">
        <v>2449</v>
      </c>
      <c r="W322" s="45" t="s">
        <v>3105</v>
      </c>
      <c r="X322" s="45" t="s">
        <v>3105</v>
      </c>
      <c r="Y322" s="45" t="s">
        <v>3105</v>
      </c>
      <c r="Z322" s="45" t="s">
        <v>48</v>
      </c>
      <c r="AA322" s="45" t="s">
        <v>506</v>
      </c>
      <c r="AB322" s="44" t="s">
        <v>506</v>
      </c>
      <c r="AD322" s="46" t="s">
        <v>1135</v>
      </c>
      <c r="AE322" s="47" t="s">
        <v>802</v>
      </c>
    </row>
    <row r="323" spans="11:31" ht="17.25" customHeight="1" x14ac:dyDescent="0.25">
      <c r="K323" s="40" t="s">
        <v>417</v>
      </c>
      <c r="L323" s="41" t="s">
        <v>2674</v>
      </c>
      <c r="M323" s="41" t="s">
        <v>556</v>
      </c>
      <c r="N323" s="41" t="s">
        <v>3139</v>
      </c>
      <c r="O323" s="41" t="s">
        <v>2369</v>
      </c>
      <c r="P323" s="41" t="s">
        <v>3140</v>
      </c>
      <c r="Q323" s="42" t="s">
        <v>1341</v>
      </c>
      <c r="V323" s="43">
        <v>2450</v>
      </c>
      <c r="W323" s="45" t="s">
        <v>3106</v>
      </c>
      <c r="X323" s="45" t="s">
        <v>3106</v>
      </c>
      <c r="Y323" s="45" t="s">
        <v>3106</v>
      </c>
      <c r="Z323" s="45" t="s">
        <v>93</v>
      </c>
      <c r="AA323" s="45" t="s">
        <v>506</v>
      </c>
      <c r="AB323" s="44" t="s">
        <v>506</v>
      </c>
      <c r="AD323" s="46" t="s">
        <v>1136</v>
      </c>
      <c r="AE323" s="47" t="s">
        <v>802</v>
      </c>
    </row>
    <row r="324" spans="11:31" ht="17.25" customHeight="1" x14ac:dyDescent="0.25">
      <c r="K324" s="40" t="s">
        <v>812</v>
      </c>
      <c r="L324" s="41" t="s">
        <v>2675</v>
      </c>
      <c r="M324" s="41" t="s">
        <v>548</v>
      </c>
      <c r="N324" s="41" t="s">
        <v>3139</v>
      </c>
      <c r="O324" s="41" t="s">
        <v>2367</v>
      </c>
      <c r="P324" s="41" t="s">
        <v>3140</v>
      </c>
      <c r="Q324" s="42" t="s">
        <v>1341</v>
      </c>
      <c r="V324" s="43">
        <v>2446</v>
      </c>
      <c r="W324" s="45" t="s">
        <v>1972</v>
      </c>
      <c r="X324" s="45" t="s">
        <v>1210</v>
      </c>
      <c r="Y324" s="45" t="s">
        <v>1973</v>
      </c>
      <c r="Z324" s="45" t="s">
        <v>232</v>
      </c>
      <c r="AA324" s="45" t="s">
        <v>525</v>
      </c>
      <c r="AB324" s="44" t="s">
        <v>1343</v>
      </c>
      <c r="AD324" s="46" t="s">
        <v>1137</v>
      </c>
      <c r="AE324" s="47" t="s">
        <v>802</v>
      </c>
    </row>
    <row r="325" spans="11:31" ht="17.25" customHeight="1" x14ac:dyDescent="0.25">
      <c r="K325" s="40" t="s">
        <v>360</v>
      </c>
      <c r="L325" s="41" t="s">
        <v>2676</v>
      </c>
      <c r="M325" s="41" t="s">
        <v>548</v>
      </c>
      <c r="N325" s="41" t="s">
        <v>3139</v>
      </c>
      <c r="O325" s="41" t="s">
        <v>2367</v>
      </c>
      <c r="P325" s="41" t="s">
        <v>3140</v>
      </c>
      <c r="Q325" s="42" t="s">
        <v>1341</v>
      </c>
      <c r="V325" s="43">
        <v>1380</v>
      </c>
      <c r="W325" s="45" t="s">
        <v>1974</v>
      </c>
      <c r="X325" s="45" t="s">
        <v>1050</v>
      </c>
      <c r="Y325" s="45" t="s">
        <v>1975</v>
      </c>
      <c r="Z325" s="45" t="s">
        <v>329</v>
      </c>
      <c r="AA325" s="45" t="s">
        <v>713</v>
      </c>
      <c r="AB325" s="44" t="s">
        <v>1341</v>
      </c>
      <c r="AD325" s="46" t="s">
        <v>1138</v>
      </c>
      <c r="AE325" s="47" t="s">
        <v>802</v>
      </c>
    </row>
    <row r="326" spans="11:31" ht="17.25" customHeight="1" x14ac:dyDescent="0.25">
      <c r="K326" s="40" t="s">
        <v>638</v>
      </c>
      <c r="L326" s="41" t="s">
        <v>2677</v>
      </c>
      <c r="M326" s="41" t="s">
        <v>554</v>
      </c>
      <c r="N326" s="41" t="s">
        <v>3139</v>
      </c>
      <c r="O326" s="41" t="s">
        <v>2369</v>
      </c>
      <c r="P326" s="41" t="s">
        <v>3140</v>
      </c>
      <c r="Q326" s="42" t="s">
        <v>1341</v>
      </c>
      <c r="V326" s="43">
        <v>1321</v>
      </c>
      <c r="W326" s="45" t="s">
        <v>1976</v>
      </c>
      <c r="X326" s="45" t="s">
        <v>1051</v>
      </c>
      <c r="Y326" s="45" t="s">
        <v>1977</v>
      </c>
      <c r="Z326" s="45" t="s">
        <v>184</v>
      </c>
      <c r="AA326" s="45" t="s">
        <v>552</v>
      </c>
      <c r="AB326" s="44" t="s">
        <v>1341</v>
      </c>
      <c r="AD326" s="46" t="s">
        <v>1139</v>
      </c>
      <c r="AE326" s="47" t="s">
        <v>802</v>
      </c>
    </row>
    <row r="327" spans="11:31" ht="17.25" customHeight="1" x14ac:dyDescent="0.25">
      <c r="K327" s="40" t="s">
        <v>685</v>
      </c>
      <c r="L327" s="41" t="s">
        <v>2678</v>
      </c>
      <c r="M327" s="41" t="s">
        <v>554</v>
      </c>
      <c r="N327" s="41" t="s">
        <v>3139</v>
      </c>
      <c r="O327" s="41" t="s">
        <v>2369</v>
      </c>
      <c r="P327" s="41" t="s">
        <v>3140</v>
      </c>
      <c r="Q327" s="42" t="s">
        <v>1341</v>
      </c>
      <c r="V327" s="43">
        <v>1412</v>
      </c>
      <c r="W327" s="45" t="s">
        <v>1978</v>
      </c>
      <c r="X327" s="45" t="s">
        <v>1211</v>
      </c>
      <c r="Y327" s="45" t="s">
        <v>1979</v>
      </c>
      <c r="Z327" s="45" t="s">
        <v>235</v>
      </c>
      <c r="AA327" s="45" t="s">
        <v>525</v>
      </c>
      <c r="AB327" s="44" t="s">
        <v>1343</v>
      </c>
      <c r="AD327" s="46" t="s">
        <v>1140</v>
      </c>
      <c r="AE327" s="47" t="s">
        <v>802</v>
      </c>
    </row>
    <row r="328" spans="11:31" ht="17.25" customHeight="1" x14ac:dyDescent="0.25">
      <c r="K328" s="40" t="s">
        <v>384</v>
      </c>
      <c r="L328" s="41" t="s">
        <v>2679</v>
      </c>
      <c r="M328" s="41" t="s">
        <v>553</v>
      </c>
      <c r="N328" s="41" t="s">
        <v>3139</v>
      </c>
      <c r="O328" s="41" t="s">
        <v>2367</v>
      </c>
      <c r="P328" s="41" t="s">
        <v>3140</v>
      </c>
      <c r="Q328" s="42" t="s">
        <v>1341</v>
      </c>
      <c r="V328" s="43">
        <v>2391</v>
      </c>
      <c r="W328" s="45" t="s">
        <v>1980</v>
      </c>
      <c r="X328" s="45" t="s">
        <v>1212</v>
      </c>
      <c r="Y328" s="45" t="s">
        <v>1981</v>
      </c>
      <c r="Z328" s="45" t="s">
        <v>239</v>
      </c>
      <c r="AA328" s="45" t="s">
        <v>526</v>
      </c>
      <c r="AB328" s="44" t="s">
        <v>1343</v>
      </c>
      <c r="AD328" s="46" t="s">
        <v>1141</v>
      </c>
      <c r="AE328" s="47" t="s">
        <v>802</v>
      </c>
    </row>
    <row r="329" spans="11:31" ht="17.25" customHeight="1" x14ac:dyDescent="0.25">
      <c r="K329" s="40" t="s">
        <v>604</v>
      </c>
      <c r="L329" s="41" t="s">
        <v>2680</v>
      </c>
      <c r="M329" s="41" t="s">
        <v>546</v>
      </c>
      <c r="N329" s="41" t="s">
        <v>3139</v>
      </c>
      <c r="O329" s="41" t="s">
        <v>2369</v>
      </c>
      <c r="P329" s="41" t="s">
        <v>3140</v>
      </c>
      <c r="Q329" s="42" t="s">
        <v>1341</v>
      </c>
      <c r="V329" s="43">
        <v>2328</v>
      </c>
      <c r="W329" s="45" t="s">
        <v>1982</v>
      </c>
      <c r="X329" s="45" t="s">
        <v>1052</v>
      </c>
      <c r="Y329" s="45" t="s">
        <v>1983</v>
      </c>
      <c r="Z329" s="45" t="s">
        <v>173</v>
      </c>
      <c r="AA329" s="45" t="s">
        <v>557</v>
      </c>
      <c r="AB329" s="44" t="s">
        <v>1341</v>
      </c>
      <c r="AD329" s="46" t="s">
        <v>1142</v>
      </c>
      <c r="AE329" s="47" t="s">
        <v>802</v>
      </c>
    </row>
    <row r="330" spans="11:31" ht="17.25" customHeight="1" x14ac:dyDescent="0.25">
      <c r="K330" s="40" t="s">
        <v>163</v>
      </c>
      <c r="L330" s="41" t="s">
        <v>2681</v>
      </c>
      <c r="M330" s="41" t="s">
        <v>549</v>
      </c>
      <c r="N330" s="41" t="s">
        <v>3139</v>
      </c>
      <c r="O330" s="41" t="s">
        <v>2367</v>
      </c>
      <c r="P330" s="41" t="s">
        <v>3140</v>
      </c>
      <c r="Q330" s="42" t="s">
        <v>1341</v>
      </c>
      <c r="V330" s="43">
        <v>1264</v>
      </c>
      <c r="W330" s="45" t="s">
        <v>1984</v>
      </c>
      <c r="X330" s="45" t="s">
        <v>861</v>
      </c>
      <c r="Y330" s="45" t="s">
        <v>1985</v>
      </c>
      <c r="Z330" s="45" t="s">
        <v>133</v>
      </c>
      <c r="AA330" s="45" t="s">
        <v>500</v>
      </c>
      <c r="AB330" s="44" t="s">
        <v>500</v>
      </c>
      <c r="AD330" s="46" t="s">
        <v>1143</v>
      </c>
      <c r="AE330" s="47" t="s">
        <v>802</v>
      </c>
    </row>
    <row r="331" spans="11:31" ht="17.25" customHeight="1" x14ac:dyDescent="0.25">
      <c r="K331" s="40" t="s">
        <v>187</v>
      </c>
      <c r="L331" s="41" t="s">
        <v>2682</v>
      </c>
      <c r="M331" s="41" t="s">
        <v>549</v>
      </c>
      <c r="N331" s="41" t="s">
        <v>3139</v>
      </c>
      <c r="O331" s="41" t="s">
        <v>2367</v>
      </c>
      <c r="P331" s="41" t="s">
        <v>3140</v>
      </c>
      <c r="Q331" s="42" t="s">
        <v>1341</v>
      </c>
      <c r="V331" s="43">
        <v>1948</v>
      </c>
      <c r="W331" s="45" t="s">
        <v>1986</v>
      </c>
      <c r="X331" s="45" t="s">
        <v>1053</v>
      </c>
      <c r="Y331" s="45" t="s">
        <v>1987</v>
      </c>
      <c r="Z331" s="45" t="s">
        <v>627</v>
      </c>
      <c r="AA331" s="45" t="s">
        <v>560</v>
      </c>
      <c r="AB331" s="44" t="s">
        <v>1341</v>
      </c>
      <c r="AD331" s="46" t="s">
        <v>1144</v>
      </c>
      <c r="AE331" s="47" t="s">
        <v>802</v>
      </c>
    </row>
    <row r="332" spans="11:31" ht="17.25" customHeight="1" x14ac:dyDescent="0.25">
      <c r="K332" s="40" t="s">
        <v>602</v>
      </c>
      <c r="L332" s="41" t="s">
        <v>2683</v>
      </c>
      <c r="M332" s="41" t="s">
        <v>549</v>
      </c>
      <c r="N332" s="41" t="s">
        <v>3139</v>
      </c>
      <c r="O332" s="41" t="s">
        <v>2367</v>
      </c>
      <c r="P332" s="41" t="s">
        <v>3140</v>
      </c>
      <c r="Q332" s="42" t="s">
        <v>1341</v>
      </c>
      <c r="V332" s="43">
        <v>1515</v>
      </c>
      <c r="W332" s="45" t="s">
        <v>1988</v>
      </c>
      <c r="X332" s="45" t="s">
        <v>1989</v>
      </c>
      <c r="Y332" s="45" t="s">
        <v>1990</v>
      </c>
      <c r="Z332" s="45" t="s">
        <v>2349</v>
      </c>
      <c r="AA332" s="45" t="s">
        <v>530</v>
      </c>
      <c r="AB332" s="44" t="s">
        <v>1343</v>
      </c>
      <c r="AD332" s="46" t="s">
        <v>1145</v>
      </c>
      <c r="AE332" s="47" t="s">
        <v>802</v>
      </c>
    </row>
    <row r="333" spans="11:31" ht="17.25" customHeight="1" x14ac:dyDescent="0.25">
      <c r="K333" s="40" t="s">
        <v>671</v>
      </c>
      <c r="L333" s="41" t="s">
        <v>2684</v>
      </c>
      <c r="M333" s="41" t="s">
        <v>559</v>
      </c>
      <c r="N333" s="41" t="s">
        <v>3139</v>
      </c>
      <c r="O333" s="41" t="s">
        <v>2369</v>
      </c>
      <c r="P333" s="41" t="s">
        <v>3148</v>
      </c>
      <c r="Q333" s="42" t="s">
        <v>1341</v>
      </c>
      <c r="V333" s="43">
        <v>2327</v>
      </c>
      <c r="W333" s="45" t="s">
        <v>1991</v>
      </c>
      <c r="X333" s="45" t="s">
        <v>1213</v>
      </c>
      <c r="Y333" s="45" t="s">
        <v>1992</v>
      </c>
      <c r="Z333" s="45" t="s">
        <v>206</v>
      </c>
      <c r="AA333" s="45" t="s">
        <v>531</v>
      </c>
      <c r="AB333" s="44" t="s">
        <v>1343</v>
      </c>
      <c r="AD333" s="46" t="s">
        <v>1146</v>
      </c>
      <c r="AE333" s="47" t="s">
        <v>802</v>
      </c>
    </row>
    <row r="334" spans="11:31" ht="17.25" customHeight="1" x14ac:dyDescent="0.25">
      <c r="K334" s="40" t="s">
        <v>576</v>
      </c>
      <c r="L334" s="41" t="s">
        <v>2685</v>
      </c>
      <c r="M334" s="41" t="s">
        <v>502</v>
      </c>
      <c r="N334" s="41" t="s">
        <v>3139</v>
      </c>
      <c r="O334" s="41" t="s">
        <v>2367</v>
      </c>
      <c r="P334" s="41" t="s">
        <v>3140</v>
      </c>
      <c r="Q334" s="42" t="s">
        <v>1341</v>
      </c>
      <c r="V334" s="43">
        <v>1369</v>
      </c>
      <c r="W334" s="45" t="s">
        <v>1993</v>
      </c>
      <c r="X334" s="45" t="s">
        <v>1214</v>
      </c>
      <c r="Y334" s="45" t="s">
        <v>1994</v>
      </c>
      <c r="Z334" s="45" t="s">
        <v>418</v>
      </c>
      <c r="AA334" s="45" t="s">
        <v>527</v>
      </c>
      <c r="AB334" s="44" t="s">
        <v>1343</v>
      </c>
      <c r="AD334" s="46" t="s">
        <v>1147</v>
      </c>
      <c r="AE334" s="47" t="s">
        <v>802</v>
      </c>
    </row>
    <row r="335" spans="11:31" ht="17.25" customHeight="1" x14ac:dyDescent="0.25">
      <c r="K335" s="40" t="s">
        <v>644</v>
      </c>
      <c r="L335" s="41" t="s">
        <v>2686</v>
      </c>
      <c r="M335" s="41" t="s">
        <v>550</v>
      </c>
      <c r="N335" s="41" t="s">
        <v>3139</v>
      </c>
      <c r="O335" s="41" t="s">
        <v>2369</v>
      </c>
      <c r="P335" s="41" t="s">
        <v>3140</v>
      </c>
      <c r="Q335" s="42" t="s">
        <v>1341</v>
      </c>
      <c r="V335" s="43">
        <v>1366</v>
      </c>
      <c r="W335" s="45" t="s">
        <v>1995</v>
      </c>
      <c r="X335" s="45" t="s">
        <v>1054</v>
      </c>
      <c r="Y335" s="45" t="s">
        <v>1996</v>
      </c>
      <c r="Z335" s="45" t="s">
        <v>166</v>
      </c>
      <c r="AA335" s="45" t="s">
        <v>558</v>
      </c>
      <c r="AB335" s="44" t="s">
        <v>1341</v>
      </c>
      <c r="AD335" s="46" t="s">
        <v>1148</v>
      </c>
      <c r="AE335" s="47" t="s">
        <v>802</v>
      </c>
    </row>
    <row r="336" spans="11:31" ht="17.25" customHeight="1" x14ac:dyDescent="0.25">
      <c r="K336" s="40" t="s">
        <v>627</v>
      </c>
      <c r="L336" s="41" t="s">
        <v>2687</v>
      </c>
      <c r="M336" s="41" t="s">
        <v>560</v>
      </c>
      <c r="N336" s="41" t="s">
        <v>3139</v>
      </c>
      <c r="O336" s="41" t="s">
        <v>2369</v>
      </c>
      <c r="P336" s="41" t="s">
        <v>3148</v>
      </c>
      <c r="Q336" s="42" t="s">
        <v>1341</v>
      </c>
      <c r="V336" s="43">
        <v>2377</v>
      </c>
      <c r="W336" s="45" t="s">
        <v>1997</v>
      </c>
      <c r="X336" s="45" t="s">
        <v>1055</v>
      </c>
      <c r="Y336" s="45" t="s">
        <v>1998</v>
      </c>
      <c r="Z336" s="45" t="s">
        <v>688</v>
      </c>
      <c r="AA336" s="45" t="s">
        <v>558</v>
      </c>
      <c r="AB336" s="44" t="s">
        <v>1341</v>
      </c>
      <c r="AD336" s="46" t="s">
        <v>1149</v>
      </c>
      <c r="AE336" s="47" t="s">
        <v>802</v>
      </c>
    </row>
    <row r="337" spans="11:31" ht="17.25" customHeight="1" x14ac:dyDescent="0.25">
      <c r="K337" s="40" t="s">
        <v>609</v>
      </c>
      <c r="L337" s="41" t="s">
        <v>2688</v>
      </c>
      <c r="M337" s="41" t="s">
        <v>546</v>
      </c>
      <c r="N337" s="41" t="s">
        <v>3139</v>
      </c>
      <c r="O337" s="41" t="s">
        <v>2369</v>
      </c>
      <c r="P337" s="41" t="s">
        <v>3140</v>
      </c>
      <c r="Q337" s="42" t="s">
        <v>1341</v>
      </c>
      <c r="V337" s="43">
        <v>1941</v>
      </c>
      <c r="W337" s="45" t="s">
        <v>1999</v>
      </c>
      <c r="X337" s="45" t="s">
        <v>1215</v>
      </c>
      <c r="Y337" s="45" t="s">
        <v>2000</v>
      </c>
      <c r="Z337" s="45" t="s">
        <v>2350</v>
      </c>
      <c r="AA337" s="45" t="s">
        <v>517</v>
      </c>
      <c r="AB337" s="44" t="s">
        <v>1343</v>
      </c>
      <c r="AD337" s="46" t="s">
        <v>1150</v>
      </c>
      <c r="AE337" s="47" t="s">
        <v>802</v>
      </c>
    </row>
    <row r="338" spans="11:31" ht="17.25" customHeight="1" x14ac:dyDescent="0.25">
      <c r="K338" s="40" t="s">
        <v>177</v>
      </c>
      <c r="L338" s="41" t="s">
        <v>2689</v>
      </c>
      <c r="M338" s="41" t="s">
        <v>558</v>
      </c>
      <c r="N338" s="41" t="s">
        <v>3139</v>
      </c>
      <c r="O338" s="41" t="s">
        <v>2367</v>
      </c>
      <c r="P338" s="41" t="s">
        <v>3140</v>
      </c>
      <c r="Q338" s="42" t="s">
        <v>1341</v>
      </c>
      <c r="V338" s="43">
        <v>2410</v>
      </c>
      <c r="W338" s="45" t="s">
        <v>2001</v>
      </c>
      <c r="X338" s="45" t="s">
        <v>1056</v>
      </c>
      <c r="Y338" s="45" t="s">
        <v>2002</v>
      </c>
      <c r="Z338" s="45" t="s">
        <v>596</v>
      </c>
      <c r="AA338" s="45" t="s">
        <v>564</v>
      </c>
      <c r="AB338" s="44" t="s">
        <v>1341</v>
      </c>
      <c r="AD338" s="46" t="s">
        <v>1151</v>
      </c>
      <c r="AE338" s="47" t="s">
        <v>802</v>
      </c>
    </row>
    <row r="339" spans="11:31" ht="17.25" customHeight="1" x14ac:dyDescent="0.25">
      <c r="K339" s="40" t="s">
        <v>587</v>
      </c>
      <c r="L339" s="41" t="s">
        <v>2690</v>
      </c>
      <c r="M339" s="41" t="s">
        <v>547</v>
      </c>
      <c r="N339" s="41" t="s">
        <v>3139</v>
      </c>
      <c r="O339" s="41" t="s">
        <v>2369</v>
      </c>
      <c r="P339" s="41" t="s">
        <v>3140</v>
      </c>
      <c r="Q339" s="42" t="s">
        <v>1341</v>
      </c>
      <c r="V339" s="43">
        <v>1520</v>
      </c>
      <c r="W339" s="45" t="s">
        <v>2003</v>
      </c>
      <c r="X339" s="45" t="s">
        <v>1057</v>
      </c>
      <c r="Y339" s="45" t="s">
        <v>2004</v>
      </c>
      <c r="Z339" s="45" t="s">
        <v>353</v>
      </c>
      <c r="AA339" s="45" t="s">
        <v>550</v>
      </c>
      <c r="AB339" s="44" t="s">
        <v>1341</v>
      </c>
      <c r="AD339" s="46" t="s">
        <v>1152</v>
      </c>
      <c r="AE339" s="47" t="s">
        <v>802</v>
      </c>
    </row>
    <row r="340" spans="11:31" ht="17.25" customHeight="1" x14ac:dyDescent="0.25">
      <c r="K340" s="40" t="s">
        <v>444</v>
      </c>
      <c r="L340" s="41" t="s">
        <v>2691</v>
      </c>
      <c r="M340" s="41" t="s">
        <v>557</v>
      </c>
      <c r="N340" s="41" t="s">
        <v>3139</v>
      </c>
      <c r="O340" s="41" t="s">
        <v>2369</v>
      </c>
      <c r="P340" s="41" t="s">
        <v>3140</v>
      </c>
      <c r="Q340" s="42" t="s">
        <v>1341</v>
      </c>
      <c r="V340" s="43">
        <v>1438</v>
      </c>
      <c r="W340" s="45" t="s">
        <v>2005</v>
      </c>
      <c r="X340" s="45" t="s">
        <v>1058</v>
      </c>
      <c r="Y340" s="45" t="s">
        <v>2006</v>
      </c>
      <c r="Z340" s="45" t="s">
        <v>169</v>
      </c>
      <c r="AA340" s="45" t="s">
        <v>550</v>
      </c>
      <c r="AB340" s="44" t="s">
        <v>1341</v>
      </c>
      <c r="AD340" s="46" t="s">
        <v>1153</v>
      </c>
      <c r="AE340" s="47" t="s">
        <v>802</v>
      </c>
    </row>
    <row r="341" spans="11:31" ht="17.25" customHeight="1" x14ac:dyDescent="0.25">
      <c r="K341" s="40" t="s">
        <v>188</v>
      </c>
      <c r="L341" s="41" t="s">
        <v>2692</v>
      </c>
      <c r="M341" s="41" t="s">
        <v>558</v>
      </c>
      <c r="N341" s="41" t="s">
        <v>3139</v>
      </c>
      <c r="O341" s="41" t="s">
        <v>2367</v>
      </c>
      <c r="P341" s="41" t="s">
        <v>3140</v>
      </c>
      <c r="Q341" s="42" t="s">
        <v>1341</v>
      </c>
      <c r="V341" s="43">
        <v>1459</v>
      </c>
      <c r="W341" s="45" t="s">
        <v>2007</v>
      </c>
      <c r="X341" s="45" t="s">
        <v>1216</v>
      </c>
      <c r="Y341" s="45" t="s">
        <v>2008</v>
      </c>
      <c r="Z341" s="45" t="s">
        <v>275</v>
      </c>
      <c r="AA341" s="45" t="s">
        <v>519</v>
      </c>
      <c r="AB341" s="44" t="s">
        <v>1343</v>
      </c>
      <c r="AD341" s="46" t="s">
        <v>1154</v>
      </c>
      <c r="AE341" s="47" t="s">
        <v>802</v>
      </c>
    </row>
    <row r="342" spans="11:31" ht="17.25" customHeight="1" x14ac:dyDescent="0.25">
      <c r="K342" s="40" t="s">
        <v>337</v>
      </c>
      <c r="L342" s="41" t="s">
        <v>2693</v>
      </c>
      <c r="M342" s="41" t="s">
        <v>558</v>
      </c>
      <c r="N342" s="41" t="s">
        <v>3139</v>
      </c>
      <c r="O342" s="41" t="s">
        <v>2367</v>
      </c>
      <c r="P342" s="41" t="s">
        <v>3140</v>
      </c>
      <c r="Q342" s="42" t="s">
        <v>1341</v>
      </c>
      <c r="V342" s="43">
        <v>2317</v>
      </c>
      <c r="W342" s="45" t="s">
        <v>2009</v>
      </c>
      <c r="X342" s="45" t="s">
        <v>1059</v>
      </c>
      <c r="Y342" s="45" t="s">
        <v>2010</v>
      </c>
      <c r="Z342" s="45" t="s">
        <v>351</v>
      </c>
      <c r="AA342" s="45" t="s">
        <v>502</v>
      </c>
      <c r="AB342" s="44" t="s">
        <v>1341</v>
      </c>
      <c r="AD342" s="46" t="s">
        <v>1155</v>
      </c>
      <c r="AE342" s="47" t="s">
        <v>802</v>
      </c>
    </row>
    <row r="343" spans="11:31" ht="17.25" customHeight="1" x14ac:dyDescent="0.25">
      <c r="K343" s="40" t="s">
        <v>653</v>
      </c>
      <c r="L343" s="41" t="s">
        <v>2694</v>
      </c>
      <c r="M343" s="41" t="s">
        <v>557</v>
      </c>
      <c r="N343" s="41" t="s">
        <v>3139</v>
      </c>
      <c r="O343" s="41" t="s">
        <v>2369</v>
      </c>
      <c r="P343" s="41" t="s">
        <v>3140</v>
      </c>
      <c r="Q343" s="42" t="s">
        <v>1341</v>
      </c>
      <c r="V343" s="43">
        <v>1386</v>
      </c>
      <c r="W343" s="45" t="s">
        <v>2011</v>
      </c>
      <c r="X343" s="45" t="s">
        <v>1217</v>
      </c>
      <c r="Y343" s="45" t="s">
        <v>2012</v>
      </c>
      <c r="Z343" s="45" t="s">
        <v>2351</v>
      </c>
      <c r="AA343" s="45" t="s">
        <v>526</v>
      </c>
      <c r="AB343" s="44" t="s">
        <v>1343</v>
      </c>
      <c r="AD343" s="46" t="s">
        <v>1156</v>
      </c>
      <c r="AE343" s="47" t="s">
        <v>802</v>
      </c>
    </row>
    <row r="344" spans="11:31" ht="17.25" customHeight="1" x14ac:dyDescent="0.25">
      <c r="K344" s="40" t="s">
        <v>373</v>
      </c>
      <c r="L344" s="41" t="s">
        <v>2695</v>
      </c>
      <c r="M344" s="41" t="s">
        <v>553</v>
      </c>
      <c r="N344" s="41" t="s">
        <v>3139</v>
      </c>
      <c r="O344" s="41" t="s">
        <v>2367</v>
      </c>
      <c r="P344" s="41" t="s">
        <v>3140</v>
      </c>
      <c r="Q344" s="42" t="s">
        <v>1341</v>
      </c>
      <c r="V344" s="43">
        <v>1120</v>
      </c>
      <c r="W344" s="45" t="s">
        <v>2013</v>
      </c>
      <c r="X344" s="45" t="s">
        <v>1218</v>
      </c>
      <c r="Y344" s="45" t="s">
        <v>2014</v>
      </c>
      <c r="Z344" s="45" t="s">
        <v>2328</v>
      </c>
      <c r="AA344" s="45" t="s">
        <v>527</v>
      </c>
      <c r="AB344" s="44" t="s">
        <v>1343</v>
      </c>
      <c r="AD344" s="46" t="s">
        <v>1157</v>
      </c>
      <c r="AE344" s="47" t="s">
        <v>802</v>
      </c>
    </row>
    <row r="345" spans="11:31" ht="17.25" customHeight="1" x14ac:dyDescent="0.25">
      <c r="K345" s="40" t="s">
        <v>174</v>
      </c>
      <c r="L345" s="41" t="s">
        <v>2696</v>
      </c>
      <c r="M345" s="41" t="s">
        <v>558</v>
      </c>
      <c r="N345" s="41" t="s">
        <v>3139</v>
      </c>
      <c r="O345" s="41" t="s">
        <v>2367</v>
      </c>
      <c r="P345" s="41" t="s">
        <v>3140</v>
      </c>
      <c r="Q345" s="42" t="s">
        <v>1341</v>
      </c>
      <c r="V345" s="43">
        <v>2284</v>
      </c>
      <c r="W345" s="45" t="s">
        <v>2015</v>
      </c>
      <c r="X345" s="45" t="s">
        <v>1219</v>
      </c>
      <c r="Y345" s="45" t="s">
        <v>2016</v>
      </c>
      <c r="Z345" s="45" t="s">
        <v>240</v>
      </c>
      <c r="AA345" s="45" t="s">
        <v>532</v>
      </c>
      <c r="AB345" s="44" t="s">
        <v>1343</v>
      </c>
      <c r="AD345" s="46" t="s">
        <v>1158</v>
      </c>
      <c r="AE345" s="47" t="s">
        <v>802</v>
      </c>
    </row>
    <row r="346" spans="11:31" ht="17.25" customHeight="1" x14ac:dyDescent="0.25">
      <c r="K346" s="40" t="s">
        <v>348</v>
      </c>
      <c r="L346" s="41" t="s">
        <v>2523</v>
      </c>
      <c r="M346" s="41" t="s">
        <v>553</v>
      </c>
      <c r="N346" s="41" t="s">
        <v>3141</v>
      </c>
      <c r="O346" s="41" t="s">
        <v>2367</v>
      </c>
      <c r="P346" s="41" t="s">
        <v>3140</v>
      </c>
      <c r="Q346" s="42" t="s">
        <v>1341</v>
      </c>
      <c r="V346" s="43">
        <v>1500</v>
      </c>
      <c r="W346" s="45" t="s">
        <v>2017</v>
      </c>
      <c r="X346" s="45" t="s">
        <v>1220</v>
      </c>
      <c r="Y346" s="45" t="s">
        <v>2018</v>
      </c>
      <c r="Z346" s="45" t="s">
        <v>601</v>
      </c>
      <c r="AA346" s="45" t="s">
        <v>523</v>
      </c>
      <c r="AB346" s="44" t="s">
        <v>1343</v>
      </c>
      <c r="AD346" s="46" t="s">
        <v>1159</v>
      </c>
      <c r="AE346" s="47" t="s">
        <v>802</v>
      </c>
    </row>
    <row r="347" spans="11:31" ht="17.25" customHeight="1" x14ac:dyDescent="0.25">
      <c r="K347" s="40" t="s">
        <v>606</v>
      </c>
      <c r="L347" s="41" t="s">
        <v>2697</v>
      </c>
      <c r="M347" s="41" t="s">
        <v>543</v>
      </c>
      <c r="N347" s="41" t="s">
        <v>3139</v>
      </c>
      <c r="O347" s="41" t="s">
        <v>2367</v>
      </c>
      <c r="P347" s="41" t="s">
        <v>3140</v>
      </c>
      <c r="Q347" s="42" t="s">
        <v>1341</v>
      </c>
      <c r="V347" s="43">
        <v>1886</v>
      </c>
      <c r="W347" s="45" t="s">
        <v>2019</v>
      </c>
      <c r="X347" s="45" t="s">
        <v>1125</v>
      </c>
      <c r="Y347" s="45" t="s">
        <v>2020</v>
      </c>
      <c r="Z347" s="45" t="s">
        <v>415</v>
      </c>
      <c r="AA347" s="45" t="s">
        <v>537</v>
      </c>
      <c r="AB347" s="44" t="s">
        <v>1342</v>
      </c>
      <c r="AD347" s="46" t="s">
        <v>1160</v>
      </c>
      <c r="AE347" s="47" t="s">
        <v>802</v>
      </c>
    </row>
    <row r="348" spans="11:31" ht="17.25" customHeight="1" x14ac:dyDescent="0.25">
      <c r="K348" s="40" t="s">
        <v>657</v>
      </c>
      <c r="L348" s="41" t="s">
        <v>2698</v>
      </c>
      <c r="M348" s="41" t="s">
        <v>551</v>
      </c>
      <c r="N348" s="41" t="s">
        <v>3139</v>
      </c>
      <c r="O348" s="41" t="s">
        <v>2369</v>
      </c>
      <c r="P348" s="41" t="s">
        <v>3140</v>
      </c>
      <c r="Q348" s="42" t="s">
        <v>1341</v>
      </c>
      <c r="V348" s="43">
        <v>1951</v>
      </c>
      <c r="W348" s="45" t="s">
        <v>2021</v>
      </c>
      <c r="X348" s="45" t="s">
        <v>1060</v>
      </c>
      <c r="Y348" s="45" t="s">
        <v>2022</v>
      </c>
      <c r="Z348" s="45" t="s">
        <v>355</v>
      </c>
      <c r="AA348" s="45" t="s">
        <v>547</v>
      </c>
      <c r="AB348" s="44" t="s">
        <v>1341</v>
      </c>
      <c r="AD348" s="46" t="s">
        <v>1161</v>
      </c>
      <c r="AE348" s="47" t="s">
        <v>802</v>
      </c>
    </row>
    <row r="349" spans="11:31" ht="17.25" customHeight="1" x14ac:dyDescent="0.25">
      <c r="K349" s="40" t="s">
        <v>419</v>
      </c>
      <c r="L349" s="41" t="s">
        <v>2699</v>
      </c>
      <c r="M349" s="41" t="s">
        <v>560</v>
      </c>
      <c r="N349" s="41" t="s">
        <v>3139</v>
      </c>
      <c r="O349" s="41" t="s">
        <v>2369</v>
      </c>
      <c r="P349" s="41" t="s">
        <v>3148</v>
      </c>
      <c r="Q349" s="42" t="s">
        <v>1341</v>
      </c>
      <c r="V349" s="43">
        <v>2356</v>
      </c>
      <c r="W349" s="45" t="s">
        <v>2023</v>
      </c>
      <c r="X349" s="45" t="s">
        <v>1061</v>
      </c>
      <c r="Y349" s="45" t="s">
        <v>2024</v>
      </c>
      <c r="Z349" s="45" t="s">
        <v>355</v>
      </c>
      <c r="AA349" s="45" t="s">
        <v>547</v>
      </c>
      <c r="AB349" s="44" t="s">
        <v>1341</v>
      </c>
      <c r="AD349" s="46" t="s">
        <v>1162</v>
      </c>
      <c r="AE349" s="47" t="s">
        <v>802</v>
      </c>
    </row>
    <row r="350" spans="11:31" ht="17.25" customHeight="1" x14ac:dyDescent="0.25">
      <c r="K350" s="40" t="s">
        <v>459</v>
      </c>
      <c r="L350" s="41" t="s">
        <v>2700</v>
      </c>
      <c r="M350" s="41" t="s">
        <v>545</v>
      </c>
      <c r="N350" s="41" t="s">
        <v>3139</v>
      </c>
      <c r="O350" s="41" t="s">
        <v>2369</v>
      </c>
      <c r="P350" s="41" t="s">
        <v>3148</v>
      </c>
      <c r="Q350" s="42" t="s">
        <v>1341</v>
      </c>
      <c r="V350" s="43">
        <v>2393</v>
      </c>
      <c r="W350" s="45" t="s">
        <v>2025</v>
      </c>
      <c r="X350" s="45" t="s">
        <v>2026</v>
      </c>
      <c r="Y350" s="45" t="s">
        <v>2027</v>
      </c>
      <c r="Z350" s="45" t="s">
        <v>636</v>
      </c>
      <c r="AA350" s="45" t="s">
        <v>529</v>
      </c>
      <c r="AB350" s="44" t="s">
        <v>1343</v>
      </c>
      <c r="AD350" s="46" t="s">
        <v>1163</v>
      </c>
      <c r="AE350" s="47" t="s">
        <v>802</v>
      </c>
    </row>
    <row r="351" spans="11:31" ht="17.25" customHeight="1" x14ac:dyDescent="0.25">
      <c r="K351" s="40" t="s">
        <v>460</v>
      </c>
      <c r="L351" s="41" t="s">
        <v>2701</v>
      </c>
      <c r="M351" s="41" t="s">
        <v>560</v>
      </c>
      <c r="N351" s="41" t="s">
        <v>3139</v>
      </c>
      <c r="O351" s="41" t="s">
        <v>2369</v>
      </c>
      <c r="P351" s="41" t="s">
        <v>3148</v>
      </c>
      <c r="Q351" s="42" t="s">
        <v>1341</v>
      </c>
      <c r="V351" s="43">
        <v>2282</v>
      </c>
      <c r="W351" s="45" t="s">
        <v>2028</v>
      </c>
      <c r="X351" s="45" t="s">
        <v>1222</v>
      </c>
      <c r="Y351" s="45" t="s">
        <v>2029</v>
      </c>
      <c r="Z351" s="45" t="s">
        <v>240</v>
      </c>
      <c r="AA351" s="45" t="s">
        <v>532</v>
      </c>
      <c r="AB351" s="44" t="s">
        <v>1343</v>
      </c>
      <c r="AD351" s="46" t="s">
        <v>1164</v>
      </c>
      <c r="AE351" s="47" t="s">
        <v>802</v>
      </c>
    </row>
    <row r="352" spans="11:31" ht="17.25" customHeight="1" x14ac:dyDescent="0.25">
      <c r="K352" s="40" t="s">
        <v>479</v>
      </c>
      <c r="L352" s="41" t="s">
        <v>2702</v>
      </c>
      <c r="M352" s="41" t="s">
        <v>560</v>
      </c>
      <c r="N352" s="41" t="s">
        <v>3139</v>
      </c>
      <c r="O352" s="41" t="s">
        <v>2369</v>
      </c>
      <c r="P352" s="41" t="s">
        <v>3148</v>
      </c>
      <c r="Q352" s="42" t="s">
        <v>1341</v>
      </c>
      <c r="V352" s="43">
        <v>1429</v>
      </c>
      <c r="W352" s="45" t="s">
        <v>2030</v>
      </c>
      <c r="X352" s="45" t="s">
        <v>1223</v>
      </c>
      <c r="Y352" s="45" t="s">
        <v>2031</v>
      </c>
      <c r="Z352" s="45" t="s">
        <v>2396</v>
      </c>
      <c r="AA352" s="45" t="s">
        <v>512</v>
      </c>
      <c r="AB352" s="44" t="s">
        <v>1343</v>
      </c>
      <c r="AD352" s="46" t="s">
        <v>1165</v>
      </c>
      <c r="AE352" s="47" t="s">
        <v>802</v>
      </c>
    </row>
    <row r="353" spans="11:31" ht="17.25" customHeight="1" x14ac:dyDescent="0.25">
      <c r="K353" s="40" t="s">
        <v>635</v>
      </c>
      <c r="L353" s="41" t="s">
        <v>2703</v>
      </c>
      <c r="M353" s="41" t="s">
        <v>713</v>
      </c>
      <c r="N353" s="41" t="s">
        <v>3139</v>
      </c>
      <c r="O353" s="41" t="s">
        <v>2369</v>
      </c>
      <c r="P353" s="41" t="s">
        <v>3148</v>
      </c>
      <c r="Q353" s="42" t="s">
        <v>1341</v>
      </c>
      <c r="V353" s="43">
        <v>2305</v>
      </c>
      <c r="W353" s="45" t="s">
        <v>2032</v>
      </c>
      <c r="X353" s="45" t="s">
        <v>824</v>
      </c>
      <c r="Y353" s="45" t="s">
        <v>2033</v>
      </c>
      <c r="Z353" s="45" t="s">
        <v>200</v>
      </c>
      <c r="AA353" s="45" t="s">
        <v>506</v>
      </c>
      <c r="AB353" s="44" t="s">
        <v>506</v>
      </c>
      <c r="AD353" s="46" t="s">
        <v>1166</v>
      </c>
      <c r="AE353" s="47" t="s">
        <v>802</v>
      </c>
    </row>
    <row r="354" spans="11:31" ht="17.25" customHeight="1" x14ac:dyDescent="0.25">
      <c r="K354" s="40" t="s">
        <v>180</v>
      </c>
      <c r="L354" s="41" t="s">
        <v>2704</v>
      </c>
      <c r="M354" s="41" t="s">
        <v>558</v>
      </c>
      <c r="N354" s="41" t="s">
        <v>3139</v>
      </c>
      <c r="O354" s="41" t="s">
        <v>2367</v>
      </c>
      <c r="P354" s="41" t="s">
        <v>3140</v>
      </c>
      <c r="Q354" s="42" t="s">
        <v>1341</v>
      </c>
      <c r="V354" s="43">
        <v>1274</v>
      </c>
      <c r="W354" s="45" t="s">
        <v>2034</v>
      </c>
      <c r="X354" s="45" t="s">
        <v>862</v>
      </c>
      <c r="Y354" s="45" t="s">
        <v>2035</v>
      </c>
      <c r="Z354" s="45" t="s">
        <v>135</v>
      </c>
      <c r="AA354" s="45" t="s">
        <v>500</v>
      </c>
      <c r="AB354" s="44" t="s">
        <v>500</v>
      </c>
      <c r="AD354" s="46" t="s">
        <v>1167</v>
      </c>
      <c r="AE354" s="47" t="s">
        <v>802</v>
      </c>
    </row>
    <row r="355" spans="11:31" ht="17.25" customHeight="1" x14ac:dyDescent="0.25">
      <c r="K355" s="40" t="s">
        <v>179</v>
      </c>
      <c r="L355" s="41" t="s">
        <v>2705</v>
      </c>
      <c r="M355" s="41" t="s">
        <v>558</v>
      </c>
      <c r="N355" s="41" t="s">
        <v>3139</v>
      </c>
      <c r="O355" s="41" t="s">
        <v>2367</v>
      </c>
      <c r="P355" s="41" t="s">
        <v>3140</v>
      </c>
      <c r="Q355" s="42" t="s">
        <v>1341</v>
      </c>
      <c r="V355" s="43">
        <v>1434</v>
      </c>
      <c r="W355" s="45" t="s">
        <v>2036</v>
      </c>
      <c r="X355" s="45" t="s">
        <v>1062</v>
      </c>
      <c r="Y355" s="45" t="s">
        <v>2036</v>
      </c>
      <c r="Z355" s="45" t="s">
        <v>306</v>
      </c>
      <c r="AA355" s="45" t="s">
        <v>545</v>
      </c>
      <c r="AB355" s="44" t="s">
        <v>1341</v>
      </c>
      <c r="AD355" s="46" t="s">
        <v>1168</v>
      </c>
      <c r="AE355" s="47" t="s">
        <v>802</v>
      </c>
    </row>
    <row r="356" spans="11:31" ht="17.25" customHeight="1" x14ac:dyDescent="0.25">
      <c r="K356" s="40" t="s">
        <v>628</v>
      </c>
      <c r="L356" s="41" t="s">
        <v>2706</v>
      </c>
      <c r="M356" s="41" t="s">
        <v>545</v>
      </c>
      <c r="N356" s="41" t="s">
        <v>3139</v>
      </c>
      <c r="O356" s="41" t="s">
        <v>2369</v>
      </c>
      <c r="P356" s="41" t="s">
        <v>3148</v>
      </c>
      <c r="Q356" s="42" t="s">
        <v>1341</v>
      </c>
      <c r="V356" s="43">
        <v>2325</v>
      </c>
      <c r="W356" s="45" t="s">
        <v>2037</v>
      </c>
      <c r="X356" s="45" t="s">
        <v>1224</v>
      </c>
      <c r="Y356" s="45" t="s">
        <v>2038</v>
      </c>
      <c r="Z356" s="45" t="s">
        <v>139</v>
      </c>
      <c r="AA356" s="45" t="s">
        <v>499</v>
      </c>
      <c r="AB356" s="44" t="s">
        <v>1343</v>
      </c>
      <c r="AD356" s="46" t="s">
        <v>1169</v>
      </c>
      <c r="AE356" s="47" t="s">
        <v>802</v>
      </c>
    </row>
    <row r="357" spans="11:31" ht="17.25" customHeight="1" x14ac:dyDescent="0.25">
      <c r="K357" s="40" t="s">
        <v>608</v>
      </c>
      <c r="L357" s="41" t="s">
        <v>2707</v>
      </c>
      <c r="M357" s="41" t="s">
        <v>545</v>
      </c>
      <c r="N357" s="41" t="s">
        <v>3139</v>
      </c>
      <c r="O357" s="41" t="s">
        <v>2369</v>
      </c>
      <c r="P357" s="41" t="s">
        <v>3148</v>
      </c>
      <c r="Q357" s="42" t="s">
        <v>1341</v>
      </c>
      <c r="V357" s="43">
        <v>1325</v>
      </c>
      <c r="W357" s="45" t="s">
        <v>2039</v>
      </c>
      <c r="X357" s="45" t="s">
        <v>2040</v>
      </c>
      <c r="Y357" s="45" t="s">
        <v>2041</v>
      </c>
      <c r="Z357" s="45" t="s">
        <v>130</v>
      </c>
      <c r="AA357" s="45" t="s">
        <v>507</v>
      </c>
      <c r="AB357" s="44" t="s">
        <v>15</v>
      </c>
      <c r="AD357" s="46" t="s">
        <v>1170</v>
      </c>
      <c r="AE357" s="47" t="s">
        <v>802</v>
      </c>
    </row>
    <row r="358" spans="11:31" ht="17.25" customHeight="1" x14ac:dyDescent="0.25">
      <c r="K358" s="40" t="s">
        <v>666</v>
      </c>
      <c r="L358" s="41" t="s">
        <v>2708</v>
      </c>
      <c r="M358" s="41" t="s">
        <v>551</v>
      </c>
      <c r="N358" s="41" t="s">
        <v>3139</v>
      </c>
      <c r="O358" s="41" t="s">
        <v>2369</v>
      </c>
      <c r="P358" s="41" t="s">
        <v>3140</v>
      </c>
      <c r="Q358" s="42" t="s">
        <v>1341</v>
      </c>
      <c r="V358" s="43">
        <v>1491</v>
      </c>
      <c r="W358" s="45" t="s">
        <v>2042</v>
      </c>
      <c r="X358" s="45" t="s">
        <v>1063</v>
      </c>
      <c r="Y358" s="45" t="s">
        <v>2043</v>
      </c>
      <c r="Z358" s="45" t="s">
        <v>368</v>
      </c>
      <c r="AA358" s="45" t="s">
        <v>502</v>
      </c>
      <c r="AB358" s="44" t="s">
        <v>1341</v>
      </c>
      <c r="AD358" s="46" t="s">
        <v>1171</v>
      </c>
      <c r="AE358" s="47" t="s">
        <v>802</v>
      </c>
    </row>
    <row r="359" spans="11:31" ht="17.25" customHeight="1" x14ac:dyDescent="0.25">
      <c r="K359" s="40" t="s">
        <v>481</v>
      </c>
      <c r="L359" s="41" t="s">
        <v>2709</v>
      </c>
      <c r="M359" s="41" t="s">
        <v>502</v>
      </c>
      <c r="N359" s="41" t="s">
        <v>3139</v>
      </c>
      <c r="O359" s="41" t="s">
        <v>2367</v>
      </c>
      <c r="P359" s="41" t="s">
        <v>3140</v>
      </c>
      <c r="Q359" s="42" t="s">
        <v>1341</v>
      </c>
      <c r="V359" s="43">
        <v>1933</v>
      </c>
      <c r="W359" s="45" t="s">
        <v>2044</v>
      </c>
      <c r="X359" s="45" t="s">
        <v>1064</v>
      </c>
      <c r="Y359" s="45" t="s">
        <v>2045</v>
      </c>
      <c r="Z359" s="45" t="s">
        <v>373</v>
      </c>
      <c r="AA359" s="45" t="s">
        <v>553</v>
      </c>
      <c r="AB359" s="44" t="s">
        <v>1341</v>
      </c>
      <c r="AD359" s="46" t="s">
        <v>1172</v>
      </c>
      <c r="AE359" s="47" t="s">
        <v>802</v>
      </c>
    </row>
    <row r="360" spans="11:31" ht="17.25" customHeight="1" x14ac:dyDescent="0.25">
      <c r="K360" s="40" t="s">
        <v>590</v>
      </c>
      <c r="L360" s="41" t="s">
        <v>2710</v>
      </c>
      <c r="M360" s="41" t="s">
        <v>561</v>
      </c>
      <c r="N360" s="41" t="s">
        <v>3139</v>
      </c>
      <c r="O360" s="41" t="s">
        <v>2367</v>
      </c>
      <c r="P360" s="41" t="s">
        <v>3140</v>
      </c>
      <c r="Q360" s="42" t="s">
        <v>1341</v>
      </c>
      <c r="V360" s="43">
        <v>1115</v>
      </c>
      <c r="W360" s="45" t="s">
        <v>2046</v>
      </c>
      <c r="X360" s="45" t="s">
        <v>1225</v>
      </c>
      <c r="Y360" s="45" t="s">
        <v>2047</v>
      </c>
      <c r="Z360" s="45" t="s">
        <v>99</v>
      </c>
      <c r="AA360" s="45" t="s">
        <v>529</v>
      </c>
      <c r="AB360" s="44" t="s">
        <v>1343</v>
      </c>
      <c r="AD360" s="46" t="s">
        <v>1173</v>
      </c>
      <c r="AE360" s="47" t="s">
        <v>802</v>
      </c>
    </row>
    <row r="361" spans="11:31" ht="17.25" customHeight="1" x14ac:dyDescent="0.25">
      <c r="K361" s="40" t="s">
        <v>660</v>
      </c>
      <c r="L361" s="41" t="s">
        <v>2711</v>
      </c>
      <c r="M361" s="41" t="s">
        <v>502</v>
      </c>
      <c r="N361" s="41" t="s">
        <v>3139</v>
      </c>
      <c r="O361" s="41" t="s">
        <v>2367</v>
      </c>
      <c r="P361" s="41" t="s">
        <v>3140</v>
      </c>
      <c r="Q361" s="42" t="s">
        <v>1341</v>
      </c>
      <c r="V361" s="43">
        <v>1493</v>
      </c>
      <c r="W361" s="45" t="s">
        <v>2048</v>
      </c>
      <c r="X361" s="45" t="s">
        <v>1226</v>
      </c>
      <c r="Y361" s="45" t="s">
        <v>2049</v>
      </c>
      <c r="Z361" s="45" t="s">
        <v>244</v>
      </c>
      <c r="AA361" s="45" t="s">
        <v>521</v>
      </c>
      <c r="AB361" s="44" t="s">
        <v>1343</v>
      </c>
      <c r="AD361" s="46" t="s">
        <v>1174</v>
      </c>
      <c r="AE361" s="47" t="s">
        <v>802</v>
      </c>
    </row>
    <row r="362" spans="11:31" ht="17.25" customHeight="1" x14ac:dyDescent="0.25">
      <c r="K362" s="40" t="s">
        <v>483</v>
      </c>
      <c r="L362" s="41" t="s">
        <v>2712</v>
      </c>
      <c r="M362" s="41" t="s">
        <v>551</v>
      </c>
      <c r="N362" s="41" t="s">
        <v>3139</v>
      </c>
      <c r="O362" s="41" t="s">
        <v>2369</v>
      </c>
      <c r="P362" s="41" t="s">
        <v>3140</v>
      </c>
      <c r="Q362" s="42" t="s">
        <v>1341</v>
      </c>
      <c r="V362" s="43">
        <v>1122</v>
      </c>
      <c r="W362" s="45" t="s">
        <v>2050</v>
      </c>
      <c r="X362" s="45" t="s">
        <v>1227</v>
      </c>
      <c r="Y362" s="45" t="s">
        <v>2051</v>
      </c>
      <c r="Z362" s="45" t="s">
        <v>18</v>
      </c>
      <c r="AA362" s="45" t="s">
        <v>508</v>
      </c>
      <c r="AB362" s="44" t="s">
        <v>1343</v>
      </c>
      <c r="AD362" s="46" t="s">
        <v>1175</v>
      </c>
      <c r="AE362" s="47" t="s">
        <v>802</v>
      </c>
    </row>
    <row r="363" spans="11:31" ht="17.25" customHeight="1" x14ac:dyDescent="0.25">
      <c r="K363" s="40" t="s">
        <v>603</v>
      </c>
      <c r="L363" s="41" t="s">
        <v>2713</v>
      </c>
      <c r="M363" s="41" t="s">
        <v>554</v>
      </c>
      <c r="N363" s="41" t="s">
        <v>3139</v>
      </c>
      <c r="O363" s="41" t="s">
        <v>2369</v>
      </c>
      <c r="P363" s="41" t="s">
        <v>3140</v>
      </c>
      <c r="Q363" s="42" t="s">
        <v>1341</v>
      </c>
      <c r="V363" s="43">
        <v>2297</v>
      </c>
      <c r="W363" s="45" t="s">
        <v>2052</v>
      </c>
      <c r="X363" s="45" t="s">
        <v>1228</v>
      </c>
      <c r="Y363" s="45" t="s">
        <v>2053</v>
      </c>
      <c r="Z363" s="45" t="s">
        <v>252</v>
      </c>
      <c r="AA363" s="45" t="s">
        <v>519</v>
      </c>
      <c r="AB363" s="44" t="s">
        <v>1343</v>
      </c>
      <c r="AD363" s="46" t="s">
        <v>1176</v>
      </c>
      <c r="AE363" s="47" t="s">
        <v>802</v>
      </c>
    </row>
    <row r="364" spans="11:31" ht="17.25" customHeight="1" x14ac:dyDescent="0.25">
      <c r="K364" s="40" t="s">
        <v>652</v>
      </c>
      <c r="L364" s="41" t="s">
        <v>2714</v>
      </c>
      <c r="M364" s="41" t="s">
        <v>561</v>
      </c>
      <c r="N364" s="41" t="s">
        <v>3139</v>
      </c>
      <c r="O364" s="41" t="s">
        <v>2367</v>
      </c>
      <c r="P364" s="41" t="s">
        <v>3140</v>
      </c>
      <c r="Q364" s="42" t="s">
        <v>1341</v>
      </c>
      <c r="V364" s="43">
        <v>2277</v>
      </c>
      <c r="W364" s="45" t="s">
        <v>2054</v>
      </c>
      <c r="X364" s="45" t="s">
        <v>1065</v>
      </c>
      <c r="Y364" s="45" t="s">
        <v>2055</v>
      </c>
      <c r="Z364" s="45" t="s">
        <v>188</v>
      </c>
      <c r="AA364" s="45" t="s">
        <v>558</v>
      </c>
      <c r="AB364" s="44" t="s">
        <v>1341</v>
      </c>
      <c r="AD364" s="46" t="s">
        <v>1177</v>
      </c>
      <c r="AE364" s="47" t="s">
        <v>802</v>
      </c>
    </row>
    <row r="365" spans="11:31" ht="17.25" customHeight="1" x14ac:dyDescent="0.25">
      <c r="K365" s="40" t="s">
        <v>672</v>
      </c>
      <c r="L365" s="41" t="s">
        <v>2715</v>
      </c>
      <c r="M365" s="41" t="s">
        <v>546</v>
      </c>
      <c r="N365" s="41" t="s">
        <v>3139</v>
      </c>
      <c r="O365" s="41" t="s">
        <v>2369</v>
      </c>
      <c r="P365" s="41" t="s">
        <v>3140</v>
      </c>
      <c r="Q365" s="42" t="s">
        <v>1341</v>
      </c>
      <c r="V365" s="43">
        <v>1428</v>
      </c>
      <c r="W365" s="45" t="s">
        <v>2056</v>
      </c>
      <c r="X365" s="45" t="s">
        <v>1229</v>
      </c>
      <c r="Y365" s="45" t="s">
        <v>2057</v>
      </c>
      <c r="Z365" s="45" t="s">
        <v>255</v>
      </c>
      <c r="AA365" s="45" t="s">
        <v>518</v>
      </c>
      <c r="AB365" s="44" t="s">
        <v>1343</v>
      </c>
      <c r="AD365" s="46" t="s">
        <v>1178</v>
      </c>
      <c r="AE365" s="47" t="s">
        <v>802</v>
      </c>
    </row>
    <row r="366" spans="11:31" ht="17.25" customHeight="1" x14ac:dyDescent="0.25">
      <c r="K366" s="40" t="s">
        <v>443</v>
      </c>
      <c r="L366" s="41" t="s">
        <v>2716</v>
      </c>
      <c r="M366" s="41" t="s">
        <v>561</v>
      </c>
      <c r="N366" s="41" t="s">
        <v>3139</v>
      </c>
      <c r="O366" s="41" t="s">
        <v>2367</v>
      </c>
      <c r="P366" s="41" t="s">
        <v>3140</v>
      </c>
      <c r="Q366" s="42" t="s">
        <v>1341</v>
      </c>
      <c r="V366" s="43">
        <v>2400</v>
      </c>
      <c r="W366" s="45" t="s">
        <v>2058</v>
      </c>
      <c r="X366" s="45" t="s">
        <v>1230</v>
      </c>
      <c r="Y366" s="45" t="s">
        <v>2059</v>
      </c>
      <c r="Z366" s="45" t="s">
        <v>254</v>
      </c>
      <c r="AA366" s="45" t="s">
        <v>518</v>
      </c>
      <c r="AB366" s="44" t="s">
        <v>1343</v>
      </c>
      <c r="AD366" s="46" t="s">
        <v>1179</v>
      </c>
      <c r="AE366" s="47" t="s">
        <v>802</v>
      </c>
    </row>
    <row r="367" spans="11:31" ht="17.25" customHeight="1" x14ac:dyDescent="0.25">
      <c r="K367" s="40" t="s">
        <v>467</v>
      </c>
      <c r="L367" s="41" t="s">
        <v>2717</v>
      </c>
      <c r="M367" s="41" t="s">
        <v>557</v>
      </c>
      <c r="N367" s="41" t="s">
        <v>3139</v>
      </c>
      <c r="O367" s="41" t="s">
        <v>2369</v>
      </c>
      <c r="P367" s="41" t="s">
        <v>3140</v>
      </c>
      <c r="Q367" s="42" t="s">
        <v>1341</v>
      </c>
      <c r="V367" s="43">
        <v>2310</v>
      </c>
      <c r="W367" s="45" t="s">
        <v>2060</v>
      </c>
      <c r="X367" s="45" t="s">
        <v>1066</v>
      </c>
      <c r="Y367" s="45" t="s">
        <v>2061</v>
      </c>
      <c r="Z367" s="45" t="s">
        <v>2352</v>
      </c>
      <c r="AA367" s="45" t="s">
        <v>556</v>
      </c>
      <c r="AB367" s="44" t="s">
        <v>1341</v>
      </c>
      <c r="AD367" s="46" t="s">
        <v>1180</v>
      </c>
      <c r="AE367" s="47" t="s">
        <v>802</v>
      </c>
    </row>
    <row r="368" spans="11:31" ht="17.25" customHeight="1" x14ac:dyDescent="0.25">
      <c r="K368" s="40" t="s">
        <v>698</v>
      </c>
      <c r="L368" s="41" t="s">
        <v>2718</v>
      </c>
      <c r="M368" s="41" t="s">
        <v>502</v>
      </c>
      <c r="N368" s="41" t="s">
        <v>3139</v>
      </c>
      <c r="O368" s="41" t="s">
        <v>2367</v>
      </c>
      <c r="P368" s="41" t="s">
        <v>3140</v>
      </c>
      <c r="Q368" s="42" t="s">
        <v>1341</v>
      </c>
      <c r="V368" s="43">
        <v>2348</v>
      </c>
      <c r="W368" s="45" t="s">
        <v>2062</v>
      </c>
      <c r="X368" s="45" t="s">
        <v>1067</v>
      </c>
      <c r="Y368" s="45" t="s">
        <v>2063</v>
      </c>
      <c r="Z368" s="45" t="s">
        <v>611</v>
      </c>
      <c r="AA368" s="45" t="s">
        <v>550</v>
      </c>
      <c r="AB368" s="44" t="s">
        <v>1341</v>
      </c>
      <c r="AD368" s="46" t="s">
        <v>1181</v>
      </c>
      <c r="AE368" s="47" t="s">
        <v>802</v>
      </c>
    </row>
    <row r="369" spans="11:31" ht="17.25" customHeight="1" x14ac:dyDescent="0.25">
      <c r="K369" s="40" t="s">
        <v>631</v>
      </c>
      <c r="L369" s="41" t="s">
        <v>2719</v>
      </c>
      <c r="M369" s="41" t="s">
        <v>550</v>
      </c>
      <c r="N369" s="41" t="s">
        <v>3139</v>
      </c>
      <c r="O369" s="41" t="s">
        <v>2369</v>
      </c>
      <c r="P369" s="41" t="s">
        <v>3140</v>
      </c>
      <c r="Q369" s="42" t="s">
        <v>1341</v>
      </c>
      <c r="V369" s="43">
        <v>1308</v>
      </c>
      <c r="W369" s="45" t="s">
        <v>2064</v>
      </c>
      <c r="X369" s="45" t="s">
        <v>1233</v>
      </c>
      <c r="Y369" s="45" t="s">
        <v>2065</v>
      </c>
      <c r="Z369" s="45" t="s">
        <v>319</v>
      </c>
      <c r="AA369" s="45" t="s">
        <v>535</v>
      </c>
      <c r="AB369" s="44" t="s">
        <v>1343</v>
      </c>
      <c r="AD369" s="46" t="s">
        <v>1182</v>
      </c>
      <c r="AE369" s="47" t="s">
        <v>802</v>
      </c>
    </row>
    <row r="370" spans="11:31" ht="17.25" customHeight="1" x14ac:dyDescent="0.25">
      <c r="K370" s="40" t="s">
        <v>589</v>
      </c>
      <c r="L370" s="41" t="s">
        <v>2720</v>
      </c>
      <c r="M370" s="41" t="s">
        <v>564</v>
      </c>
      <c r="N370" s="41" t="s">
        <v>3139</v>
      </c>
      <c r="O370" s="41" t="s">
        <v>2367</v>
      </c>
      <c r="P370" s="41" t="s">
        <v>3140</v>
      </c>
      <c r="Q370" s="42" t="s">
        <v>1341</v>
      </c>
      <c r="V370" s="43">
        <v>1512</v>
      </c>
      <c r="W370" s="45" t="s">
        <v>2066</v>
      </c>
      <c r="X370" s="45" t="s">
        <v>1235</v>
      </c>
      <c r="Y370" s="45" t="s">
        <v>2067</v>
      </c>
      <c r="Z370" s="45" t="s">
        <v>156</v>
      </c>
      <c r="AA370" s="45" t="s">
        <v>526</v>
      </c>
      <c r="AB370" s="44" t="s">
        <v>1343</v>
      </c>
      <c r="AD370" s="46" t="s">
        <v>1183</v>
      </c>
      <c r="AE370" s="47" t="s">
        <v>802</v>
      </c>
    </row>
    <row r="371" spans="11:31" ht="17.25" customHeight="1" x14ac:dyDescent="0.25">
      <c r="K371" s="40" t="s">
        <v>562</v>
      </c>
      <c r="L371" s="41" t="s">
        <v>2721</v>
      </c>
      <c r="M371" s="41" t="s">
        <v>561</v>
      </c>
      <c r="N371" s="41" t="s">
        <v>3139</v>
      </c>
      <c r="O371" s="41" t="s">
        <v>2367</v>
      </c>
      <c r="P371" s="41" t="s">
        <v>3140</v>
      </c>
      <c r="Q371" s="42" t="s">
        <v>1341</v>
      </c>
      <c r="V371" s="43">
        <v>1152</v>
      </c>
      <c r="W371" s="45" t="s">
        <v>2068</v>
      </c>
      <c r="X371" s="45" t="s">
        <v>1126</v>
      </c>
      <c r="Y371" s="45" t="s">
        <v>2069</v>
      </c>
      <c r="Z371" s="45" t="s">
        <v>50</v>
      </c>
      <c r="AA371" s="45" t="s">
        <v>538</v>
      </c>
      <c r="AB371" s="44" t="s">
        <v>1342</v>
      </c>
      <c r="AD371" s="46" t="s">
        <v>1184</v>
      </c>
      <c r="AE371" s="47" t="s">
        <v>802</v>
      </c>
    </row>
    <row r="372" spans="11:31" ht="17.25" customHeight="1" x14ac:dyDescent="0.25">
      <c r="K372" s="40" t="s">
        <v>487</v>
      </c>
      <c r="L372" s="41" t="s">
        <v>2722</v>
      </c>
      <c r="M372" s="41" t="s">
        <v>557</v>
      </c>
      <c r="N372" s="41" t="s">
        <v>3139</v>
      </c>
      <c r="O372" s="41" t="s">
        <v>2369</v>
      </c>
      <c r="P372" s="41" t="s">
        <v>3140</v>
      </c>
      <c r="Q372" s="42" t="s">
        <v>1341</v>
      </c>
      <c r="V372" s="43">
        <v>1414</v>
      </c>
      <c r="W372" s="45" t="s">
        <v>2070</v>
      </c>
      <c r="X372" s="45" t="s">
        <v>1127</v>
      </c>
      <c r="Y372" s="45" t="s">
        <v>2071</v>
      </c>
      <c r="Z372" s="45" t="s">
        <v>2353</v>
      </c>
      <c r="AA372" s="45" t="s">
        <v>536</v>
      </c>
      <c r="AB372" s="44" t="s">
        <v>1342</v>
      </c>
      <c r="AD372" s="46" t="s">
        <v>1185</v>
      </c>
      <c r="AE372" s="47" t="s">
        <v>802</v>
      </c>
    </row>
    <row r="373" spans="11:31" ht="17.25" customHeight="1" x14ac:dyDescent="0.25">
      <c r="K373" s="40" t="s">
        <v>651</v>
      </c>
      <c r="L373" s="41" t="s">
        <v>2723</v>
      </c>
      <c r="M373" s="41" t="s">
        <v>547</v>
      </c>
      <c r="N373" s="41" t="s">
        <v>3139</v>
      </c>
      <c r="O373" s="41" t="s">
        <v>2369</v>
      </c>
      <c r="P373" s="41" t="s">
        <v>3140</v>
      </c>
      <c r="Q373" s="42" t="s">
        <v>1341</v>
      </c>
      <c r="V373" s="43">
        <v>2373</v>
      </c>
      <c r="W373" s="45" t="s">
        <v>2072</v>
      </c>
      <c r="X373" s="45" t="s">
        <v>2073</v>
      </c>
      <c r="Y373" s="45" t="s">
        <v>2074</v>
      </c>
      <c r="Z373" s="45" t="s">
        <v>371</v>
      </c>
      <c r="AA373" s="45" t="s">
        <v>546</v>
      </c>
      <c r="AB373" s="44" t="s">
        <v>1341</v>
      </c>
      <c r="AD373" s="46" t="s">
        <v>1186</v>
      </c>
      <c r="AE373" s="47" t="s">
        <v>802</v>
      </c>
    </row>
    <row r="374" spans="11:31" ht="17.25" customHeight="1" x14ac:dyDescent="0.25">
      <c r="K374" s="40" t="s">
        <v>495</v>
      </c>
      <c r="L374" s="41" t="s">
        <v>2724</v>
      </c>
      <c r="M374" s="41" t="s">
        <v>545</v>
      </c>
      <c r="N374" s="41" t="s">
        <v>3139</v>
      </c>
      <c r="O374" s="41" t="s">
        <v>2369</v>
      </c>
      <c r="P374" s="41" t="s">
        <v>3148</v>
      </c>
      <c r="Q374" s="42" t="s">
        <v>1341</v>
      </c>
      <c r="V374" s="43">
        <v>1953</v>
      </c>
      <c r="W374" s="45" t="s">
        <v>2075</v>
      </c>
      <c r="X374" s="45" t="s">
        <v>2076</v>
      </c>
      <c r="Y374" s="45" t="s">
        <v>2077</v>
      </c>
      <c r="Z374" s="45" t="s">
        <v>787</v>
      </c>
      <c r="AA374" s="45" t="s">
        <v>541</v>
      </c>
      <c r="AB374" s="44" t="s">
        <v>1341</v>
      </c>
      <c r="AD374" s="46" t="s">
        <v>1187</v>
      </c>
      <c r="AE374" s="47" t="s">
        <v>802</v>
      </c>
    </row>
    <row r="375" spans="11:31" ht="17.25" customHeight="1" x14ac:dyDescent="0.25">
      <c r="K375" s="40" t="s">
        <v>490</v>
      </c>
      <c r="L375" s="41" t="s">
        <v>2725</v>
      </c>
      <c r="M375" s="41" t="s">
        <v>556</v>
      </c>
      <c r="N375" s="41" t="s">
        <v>3141</v>
      </c>
      <c r="O375" s="41" t="s">
        <v>2369</v>
      </c>
      <c r="P375" s="41" t="s">
        <v>3140</v>
      </c>
      <c r="Q375" s="42" t="s">
        <v>1341</v>
      </c>
      <c r="V375" s="43">
        <v>1243</v>
      </c>
      <c r="W375" s="45" t="s">
        <v>2078</v>
      </c>
      <c r="X375" s="45" t="s">
        <v>1074</v>
      </c>
      <c r="Y375" s="45" t="s">
        <v>2079</v>
      </c>
      <c r="Z375" s="45" t="s">
        <v>162</v>
      </c>
      <c r="AA375" s="45" t="s">
        <v>552</v>
      </c>
      <c r="AB375" s="44" t="s">
        <v>1341</v>
      </c>
      <c r="AD375" s="46" t="s">
        <v>1188</v>
      </c>
      <c r="AE375" s="47" t="s">
        <v>802</v>
      </c>
    </row>
    <row r="376" spans="11:31" ht="17.25" customHeight="1" x14ac:dyDescent="0.25">
      <c r="K376" s="40" t="s">
        <v>617</v>
      </c>
      <c r="L376" s="41" t="s">
        <v>2726</v>
      </c>
      <c r="M376" s="41" t="s">
        <v>560</v>
      </c>
      <c r="N376" s="41" t="s">
        <v>3139</v>
      </c>
      <c r="O376" s="41" t="s">
        <v>2369</v>
      </c>
      <c r="P376" s="41" t="s">
        <v>3148</v>
      </c>
      <c r="Q376" s="42" t="s">
        <v>1341</v>
      </c>
      <c r="V376" s="43">
        <v>1284</v>
      </c>
      <c r="W376" s="45" t="s">
        <v>2080</v>
      </c>
      <c r="X376" s="45" t="s">
        <v>866</v>
      </c>
      <c r="Y376" s="45" t="s">
        <v>2081</v>
      </c>
      <c r="Z376" s="45" t="s">
        <v>176</v>
      </c>
      <c r="AA376" s="45" t="s">
        <v>500</v>
      </c>
      <c r="AB376" s="44" t="s">
        <v>500</v>
      </c>
      <c r="AD376" s="46" t="s">
        <v>1189</v>
      </c>
      <c r="AE376" s="47" t="s">
        <v>802</v>
      </c>
    </row>
    <row r="377" spans="11:31" ht="17.25" customHeight="1" x14ac:dyDescent="0.25">
      <c r="K377" s="40" t="s">
        <v>489</v>
      </c>
      <c r="L377" s="41" t="s">
        <v>2727</v>
      </c>
      <c r="M377" s="41" t="s">
        <v>563</v>
      </c>
      <c r="N377" s="41" t="s">
        <v>3139</v>
      </c>
      <c r="O377" s="41" t="s">
        <v>2367</v>
      </c>
      <c r="P377" s="41" t="s">
        <v>3140</v>
      </c>
      <c r="Q377" s="42" t="s">
        <v>1341</v>
      </c>
      <c r="V377" s="43">
        <v>2429</v>
      </c>
      <c r="W377" s="45" t="s">
        <v>2082</v>
      </c>
      <c r="X377" s="45" t="s">
        <v>2083</v>
      </c>
      <c r="Y377" s="45" t="s">
        <v>2084</v>
      </c>
      <c r="Z377" s="45" t="s">
        <v>324</v>
      </c>
      <c r="AA377" s="45" t="s">
        <v>552</v>
      </c>
      <c r="AB377" s="44" t="s">
        <v>1341</v>
      </c>
      <c r="AD377" s="46" t="s">
        <v>1190</v>
      </c>
      <c r="AE377" s="47" t="s">
        <v>802</v>
      </c>
    </row>
    <row r="378" spans="11:31" ht="17.25" customHeight="1" x14ac:dyDescent="0.25">
      <c r="K378" s="40" t="s">
        <v>669</v>
      </c>
      <c r="L378" s="41" t="s">
        <v>2728</v>
      </c>
      <c r="M378" s="41" t="s">
        <v>564</v>
      </c>
      <c r="N378" s="41" t="s">
        <v>3139</v>
      </c>
      <c r="O378" s="41" t="s">
        <v>2367</v>
      </c>
      <c r="P378" s="41" t="s">
        <v>3140</v>
      </c>
      <c r="Q378" s="42" t="s">
        <v>1341</v>
      </c>
      <c r="V378" s="43">
        <v>2293</v>
      </c>
      <c r="W378" s="45" t="s">
        <v>2085</v>
      </c>
      <c r="X378" s="45" t="s">
        <v>1236</v>
      </c>
      <c r="Y378" s="45" t="s">
        <v>2086</v>
      </c>
      <c r="Z378" s="45" t="s">
        <v>258</v>
      </c>
      <c r="AA378" s="45" t="s">
        <v>512</v>
      </c>
      <c r="AB378" s="44" t="s">
        <v>1343</v>
      </c>
      <c r="AD378" s="46" t="s">
        <v>1191</v>
      </c>
      <c r="AE378" s="47" t="s">
        <v>802</v>
      </c>
    </row>
    <row r="379" spans="11:31" ht="17.25" customHeight="1" x14ac:dyDescent="0.25">
      <c r="K379" s="40" t="s">
        <v>709</v>
      </c>
      <c r="L379" s="41" t="s">
        <v>2729</v>
      </c>
      <c r="M379" s="41" t="s">
        <v>554</v>
      </c>
      <c r="N379" s="41" t="s">
        <v>3139</v>
      </c>
      <c r="O379" s="41" t="s">
        <v>2369</v>
      </c>
      <c r="P379" s="41" t="s">
        <v>3140</v>
      </c>
      <c r="Q379" s="42" t="s">
        <v>1341</v>
      </c>
      <c r="V379" s="43">
        <v>1430</v>
      </c>
      <c r="W379" s="45" t="s">
        <v>2087</v>
      </c>
      <c r="X379" s="45" t="s">
        <v>1237</v>
      </c>
      <c r="Y379" s="45" t="s">
        <v>2088</v>
      </c>
      <c r="Z379" s="45" t="s">
        <v>247</v>
      </c>
      <c r="AA379" s="45" t="s">
        <v>512</v>
      </c>
      <c r="AB379" s="44" t="s">
        <v>1343</v>
      </c>
      <c r="AD379" s="46" t="s">
        <v>1192</v>
      </c>
      <c r="AE379" s="47" t="s">
        <v>802</v>
      </c>
    </row>
    <row r="380" spans="11:31" ht="17.25" customHeight="1" x14ac:dyDescent="0.25">
      <c r="K380" s="40" t="s">
        <v>407</v>
      </c>
      <c r="L380" s="41" t="s">
        <v>2730</v>
      </c>
      <c r="M380" s="41" t="s">
        <v>551</v>
      </c>
      <c r="N380" s="41" t="s">
        <v>3139</v>
      </c>
      <c r="O380" s="41" t="s">
        <v>2369</v>
      </c>
      <c r="P380" s="41" t="s">
        <v>3140</v>
      </c>
      <c r="Q380" s="42" t="s">
        <v>1341</v>
      </c>
      <c r="V380" s="43">
        <v>1937</v>
      </c>
      <c r="W380" s="45" t="s">
        <v>2089</v>
      </c>
      <c r="X380" s="45" t="s">
        <v>1238</v>
      </c>
      <c r="Y380" s="45" t="s">
        <v>2090</v>
      </c>
      <c r="Z380" s="45" t="s">
        <v>673</v>
      </c>
      <c r="AA380" s="45" t="s">
        <v>1322</v>
      </c>
      <c r="AB380" s="44" t="s">
        <v>1343</v>
      </c>
      <c r="AD380" s="46" t="s">
        <v>1193</v>
      </c>
      <c r="AE380" s="47" t="s">
        <v>802</v>
      </c>
    </row>
    <row r="381" spans="11:31" ht="17.25" customHeight="1" x14ac:dyDescent="0.25">
      <c r="K381" s="40" t="s">
        <v>580</v>
      </c>
      <c r="L381" s="41" t="s">
        <v>2731</v>
      </c>
      <c r="M381" s="41" t="s">
        <v>502</v>
      </c>
      <c r="N381" s="41" t="s">
        <v>3139</v>
      </c>
      <c r="O381" s="41" t="s">
        <v>2367</v>
      </c>
      <c r="P381" s="41" t="s">
        <v>3140</v>
      </c>
      <c r="Q381" s="42" t="s">
        <v>1341</v>
      </c>
      <c r="V381" s="43">
        <v>1263</v>
      </c>
      <c r="W381" s="45" t="s">
        <v>2091</v>
      </c>
      <c r="X381" s="45" t="s">
        <v>867</v>
      </c>
      <c r="Y381" s="45" t="s">
        <v>2092</v>
      </c>
      <c r="Z381" s="45" t="s">
        <v>150</v>
      </c>
      <c r="AA381" s="45" t="s">
        <v>500</v>
      </c>
      <c r="AB381" s="44" t="s">
        <v>500</v>
      </c>
      <c r="AD381" s="46" t="s">
        <v>1194</v>
      </c>
      <c r="AE381" s="47" t="s">
        <v>802</v>
      </c>
    </row>
    <row r="382" spans="11:31" ht="17.25" customHeight="1" x14ac:dyDescent="0.25">
      <c r="K382" s="40" t="s">
        <v>488</v>
      </c>
      <c r="L382" s="41" t="s">
        <v>2732</v>
      </c>
      <c r="M382" s="41" t="s">
        <v>554</v>
      </c>
      <c r="N382" s="41" t="s">
        <v>3139</v>
      </c>
      <c r="O382" s="41" t="s">
        <v>2369</v>
      </c>
      <c r="P382" s="41" t="s">
        <v>3140</v>
      </c>
      <c r="Q382" s="42" t="s">
        <v>1341</v>
      </c>
      <c r="V382" s="43">
        <v>2394</v>
      </c>
      <c r="W382" s="45" t="s">
        <v>2093</v>
      </c>
      <c r="X382" s="45" t="s">
        <v>1239</v>
      </c>
      <c r="Y382" s="45" t="s">
        <v>2094</v>
      </c>
      <c r="Z382" s="45" t="s">
        <v>263</v>
      </c>
      <c r="AA382" s="45" t="s">
        <v>499</v>
      </c>
      <c r="AB382" s="44" t="s">
        <v>1343</v>
      </c>
      <c r="AD382" s="46" t="s">
        <v>1195</v>
      </c>
      <c r="AE382" s="47" t="s">
        <v>802</v>
      </c>
    </row>
    <row r="383" spans="11:31" ht="17.25" customHeight="1" x14ac:dyDescent="0.25">
      <c r="K383" s="40" t="s">
        <v>722</v>
      </c>
      <c r="L383" s="41" t="s">
        <v>2733</v>
      </c>
      <c r="M383" s="41" t="s">
        <v>564</v>
      </c>
      <c r="N383" s="41" t="s">
        <v>3141</v>
      </c>
      <c r="O383" s="41" t="s">
        <v>2367</v>
      </c>
      <c r="P383" s="41" t="s">
        <v>3140</v>
      </c>
      <c r="Q383" s="42" t="s">
        <v>1341</v>
      </c>
      <c r="V383" s="43">
        <v>2306</v>
      </c>
      <c r="W383" s="45" t="s">
        <v>2095</v>
      </c>
      <c r="X383" s="45" t="s">
        <v>1128</v>
      </c>
      <c r="Y383" s="45" t="s">
        <v>2096</v>
      </c>
      <c r="Z383" s="45" t="s">
        <v>2354</v>
      </c>
      <c r="AA383" s="45" t="s">
        <v>536</v>
      </c>
      <c r="AB383" s="44" t="s">
        <v>1342</v>
      </c>
      <c r="AD383" s="46" t="s">
        <v>1196</v>
      </c>
      <c r="AE383" s="47" t="s">
        <v>802</v>
      </c>
    </row>
    <row r="384" spans="11:31" ht="17.25" customHeight="1" x14ac:dyDescent="0.25">
      <c r="K384" s="40" t="s">
        <v>596</v>
      </c>
      <c r="L384" s="41" t="s">
        <v>2734</v>
      </c>
      <c r="M384" s="41" t="s">
        <v>564</v>
      </c>
      <c r="N384" s="41" t="s">
        <v>3139</v>
      </c>
      <c r="O384" s="41" t="s">
        <v>2367</v>
      </c>
      <c r="P384" s="41" t="s">
        <v>3140</v>
      </c>
      <c r="Q384" s="42" t="s">
        <v>1341</v>
      </c>
      <c r="V384" s="43">
        <v>1934</v>
      </c>
      <c r="W384" s="45" t="s">
        <v>2097</v>
      </c>
      <c r="X384" s="45" t="s">
        <v>2098</v>
      </c>
      <c r="Y384" s="45" t="s">
        <v>2099</v>
      </c>
      <c r="Z384" s="45" t="s">
        <v>370</v>
      </c>
      <c r="AA384" s="45" t="s">
        <v>543</v>
      </c>
      <c r="AB384" s="44" t="s">
        <v>1341</v>
      </c>
      <c r="AD384" s="46" t="s">
        <v>1197</v>
      </c>
      <c r="AE384" s="47" t="s">
        <v>802</v>
      </c>
    </row>
    <row r="385" spans="11:31" ht="17.25" customHeight="1" x14ac:dyDescent="0.25">
      <c r="K385" s="40" t="s">
        <v>592</v>
      </c>
      <c r="L385" s="41" t="s">
        <v>2735</v>
      </c>
      <c r="M385" s="41" t="s">
        <v>502</v>
      </c>
      <c r="N385" s="41" t="s">
        <v>3139</v>
      </c>
      <c r="O385" s="41" t="s">
        <v>2367</v>
      </c>
      <c r="P385" s="41" t="s">
        <v>3140</v>
      </c>
      <c r="Q385" s="42" t="s">
        <v>1341</v>
      </c>
      <c r="V385" s="43">
        <v>1413</v>
      </c>
      <c r="W385" s="45" t="s">
        <v>2100</v>
      </c>
      <c r="X385" s="45" t="s">
        <v>1129</v>
      </c>
      <c r="Y385" s="45" t="s">
        <v>2101</v>
      </c>
      <c r="Z385" s="45" t="s">
        <v>751</v>
      </c>
      <c r="AA385" s="45" t="s">
        <v>539</v>
      </c>
      <c r="AB385" s="44" t="s">
        <v>1342</v>
      </c>
      <c r="AD385" s="46" t="s">
        <v>1198</v>
      </c>
      <c r="AE385" s="47" t="s">
        <v>802</v>
      </c>
    </row>
    <row r="386" spans="11:31" ht="17.25" customHeight="1" x14ac:dyDescent="0.25">
      <c r="K386" s="40" t="s">
        <v>696</v>
      </c>
      <c r="L386" s="41" t="s">
        <v>2613</v>
      </c>
      <c r="M386" s="41" t="s">
        <v>550</v>
      </c>
      <c r="N386" s="41" t="s">
        <v>3139</v>
      </c>
      <c r="O386" s="41" t="s">
        <v>2369</v>
      </c>
      <c r="P386" s="41" t="s">
        <v>3140</v>
      </c>
      <c r="Q386" s="42" t="s">
        <v>1341</v>
      </c>
      <c r="V386" s="43">
        <v>1411</v>
      </c>
      <c r="W386" s="45" t="s">
        <v>2102</v>
      </c>
      <c r="X386" s="45" t="s">
        <v>1240</v>
      </c>
      <c r="Y386" s="45" t="s">
        <v>2103</v>
      </c>
      <c r="Z386" s="45" t="s">
        <v>249</v>
      </c>
      <c r="AA386" s="45" t="s">
        <v>528</v>
      </c>
      <c r="AB386" s="44" t="s">
        <v>1343</v>
      </c>
      <c r="AD386" s="46" t="s">
        <v>1199</v>
      </c>
      <c r="AE386" s="47" t="s">
        <v>802</v>
      </c>
    </row>
    <row r="387" spans="11:31" ht="17.25" customHeight="1" x14ac:dyDescent="0.25">
      <c r="K387" s="40" t="s">
        <v>714</v>
      </c>
      <c r="L387" s="41" t="s">
        <v>2736</v>
      </c>
      <c r="M387" s="41" t="s">
        <v>556</v>
      </c>
      <c r="N387" s="41" t="s">
        <v>3139</v>
      </c>
      <c r="O387" s="41" t="s">
        <v>2369</v>
      </c>
      <c r="P387" s="41" t="s">
        <v>3140</v>
      </c>
      <c r="Q387" s="42" t="s">
        <v>1341</v>
      </c>
      <c r="V387" s="43">
        <v>1954</v>
      </c>
      <c r="W387" s="45" t="s">
        <v>2104</v>
      </c>
      <c r="X387" s="45" t="s">
        <v>1241</v>
      </c>
      <c r="Y387" s="45" t="s">
        <v>2105</v>
      </c>
      <c r="Z387" s="45" t="s">
        <v>2355</v>
      </c>
      <c r="AA387" s="45" t="s">
        <v>522</v>
      </c>
      <c r="AB387" s="44" t="s">
        <v>1343</v>
      </c>
      <c r="AD387" s="46" t="s">
        <v>1200</v>
      </c>
      <c r="AE387" s="47" t="s">
        <v>802</v>
      </c>
    </row>
    <row r="388" spans="11:31" ht="17.25" customHeight="1" x14ac:dyDescent="0.25">
      <c r="K388" s="40" t="s">
        <v>485</v>
      </c>
      <c r="L388" s="41" t="s">
        <v>2737</v>
      </c>
      <c r="M388" s="41" t="s">
        <v>556</v>
      </c>
      <c r="N388" s="41" t="s">
        <v>3139</v>
      </c>
      <c r="O388" s="41" t="s">
        <v>2369</v>
      </c>
      <c r="P388" s="41" t="s">
        <v>3140</v>
      </c>
      <c r="Q388" s="42" t="s">
        <v>1341</v>
      </c>
      <c r="V388" s="43">
        <v>1275</v>
      </c>
      <c r="W388" s="45" t="s">
        <v>2106</v>
      </c>
      <c r="X388" s="45" t="s">
        <v>868</v>
      </c>
      <c r="Y388" s="45" t="s">
        <v>2107</v>
      </c>
      <c r="Z388" s="45" t="s">
        <v>192</v>
      </c>
      <c r="AA388" s="45" t="s">
        <v>500</v>
      </c>
      <c r="AB388" s="44" t="s">
        <v>500</v>
      </c>
      <c r="AD388" s="46" t="s">
        <v>1201</v>
      </c>
      <c r="AE388" s="47" t="s">
        <v>802</v>
      </c>
    </row>
    <row r="389" spans="11:31" ht="17.25" customHeight="1" x14ac:dyDescent="0.25">
      <c r="K389" s="40" t="s">
        <v>429</v>
      </c>
      <c r="L389" s="41" t="s">
        <v>2738</v>
      </c>
      <c r="M389" s="41" t="s">
        <v>565</v>
      </c>
      <c r="N389" s="41" t="s">
        <v>3139</v>
      </c>
      <c r="O389" s="41" t="s">
        <v>2367</v>
      </c>
      <c r="P389" s="41" t="s">
        <v>3140</v>
      </c>
      <c r="Q389" s="42" t="s">
        <v>1341</v>
      </c>
      <c r="V389" s="43">
        <v>1373</v>
      </c>
      <c r="W389" s="45" t="s">
        <v>2108</v>
      </c>
      <c r="X389" s="45" t="s">
        <v>1242</v>
      </c>
      <c r="Y389" s="45" t="s">
        <v>2109</v>
      </c>
      <c r="Z389" s="45" t="s">
        <v>251</v>
      </c>
      <c r="AA389" s="45" t="s">
        <v>519</v>
      </c>
      <c r="AB389" s="44" t="s">
        <v>1343</v>
      </c>
      <c r="AD389" s="46" t="s">
        <v>1202</v>
      </c>
      <c r="AE389" s="47" t="s">
        <v>802</v>
      </c>
    </row>
    <row r="390" spans="11:31" ht="17.25" customHeight="1" x14ac:dyDescent="0.25">
      <c r="K390" s="40" t="s">
        <v>442</v>
      </c>
      <c r="L390" s="41" t="s">
        <v>2683</v>
      </c>
      <c r="M390" s="41" t="s">
        <v>545</v>
      </c>
      <c r="N390" s="41" t="s">
        <v>3139</v>
      </c>
      <c r="O390" s="41" t="s">
        <v>2369</v>
      </c>
      <c r="P390" s="41" t="s">
        <v>3148</v>
      </c>
      <c r="Q390" s="42" t="s">
        <v>1341</v>
      </c>
      <c r="V390" s="43">
        <v>1408</v>
      </c>
      <c r="W390" s="45" t="s">
        <v>2110</v>
      </c>
      <c r="X390" s="45" t="s">
        <v>1075</v>
      </c>
      <c r="Y390" s="45" t="s">
        <v>2111</v>
      </c>
      <c r="Z390" s="45" t="s">
        <v>330</v>
      </c>
      <c r="AA390" s="45" t="s">
        <v>561</v>
      </c>
      <c r="AB390" s="44" t="s">
        <v>1341</v>
      </c>
      <c r="AD390" s="46" t="s">
        <v>1203</v>
      </c>
      <c r="AE390" s="47" t="s">
        <v>802</v>
      </c>
    </row>
    <row r="391" spans="11:31" ht="17.25" customHeight="1" x14ac:dyDescent="0.25">
      <c r="K391" s="40" t="s">
        <v>451</v>
      </c>
      <c r="L391" s="41" t="s">
        <v>2739</v>
      </c>
      <c r="M391" s="41" t="s">
        <v>563</v>
      </c>
      <c r="N391" s="41" t="s">
        <v>3139</v>
      </c>
      <c r="O391" s="41" t="s">
        <v>2367</v>
      </c>
      <c r="P391" s="41" t="s">
        <v>3140</v>
      </c>
      <c r="Q391" s="42" t="s">
        <v>1341</v>
      </c>
      <c r="V391" s="43">
        <v>2382</v>
      </c>
      <c r="W391" s="45" t="s">
        <v>2112</v>
      </c>
      <c r="X391" s="45" t="s">
        <v>1243</v>
      </c>
      <c r="Y391" s="45" t="s">
        <v>2113</v>
      </c>
      <c r="Z391" s="45" t="s">
        <v>261</v>
      </c>
      <c r="AA391" s="45" t="s">
        <v>523</v>
      </c>
      <c r="AB391" s="44" t="s">
        <v>1343</v>
      </c>
      <c r="AD391" s="46" t="s">
        <v>1204</v>
      </c>
      <c r="AE391" s="47" t="s">
        <v>802</v>
      </c>
    </row>
    <row r="392" spans="11:31" ht="17.25" customHeight="1" x14ac:dyDescent="0.25">
      <c r="K392" s="40" t="s">
        <v>583</v>
      </c>
      <c r="L392" s="41" t="s">
        <v>2740</v>
      </c>
      <c r="M392" s="41" t="s">
        <v>561</v>
      </c>
      <c r="N392" s="41" t="s">
        <v>3139</v>
      </c>
      <c r="O392" s="41" t="s">
        <v>2367</v>
      </c>
      <c r="P392" s="41" t="s">
        <v>3140</v>
      </c>
      <c r="Q392" s="42" t="s">
        <v>1341</v>
      </c>
      <c r="V392" s="43">
        <v>1402</v>
      </c>
      <c r="W392" s="45" t="s">
        <v>2114</v>
      </c>
      <c r="X392" s="45" t="s">
        <v>1244</v>
      </c>
      <c r="Y392" s="45" t="s">
        <v>2115</v>
      </c>
      <c r="Z392" s="45" t="s">
        <v>283</v>
      </c>
      <c r="AA392" s="45" t="s">
        <v>525</v>
      </c>
      <c r="AB392" s="44" t="s">
        <v>1343</v>
      </c>
      <c r="AD392" s="46" t="s">
        <v>1205</v>
      </c>
      <c r="AE392" s="47" t="s">
        <v>802</v>
      </c>
    </row>
    <row r="393" spans="11:31" ht="17.25" customHeight="1" x14ac:dyDescent="0.25">
      <c r="K393" s="40" t="s">
        <v>688</v>
      </c>
      <c r="L393" s="41" t="s">
        <v>2741</v>
      </c>
      <c r="M393" s="41" t="s">
        <v>558</v>
      </c>
      <c r="N393" s="41" t="s">
        <v>3139</v>
      </c>
      <c r="O393" s="41" t="s">
        <v>2367</v>
      </c>
      <c r="P393" s="41" t="s">
        <v>3140</v>
      </c>
      <c r="Q393" s="42" t="s">
        <v>1341</v>
      </c>
      <c r="V393" s="43">
        <v>2383</v>
      </c>
      <c r="W393" s="45" t="s">
        <v>2116</v>
      </c>
      <c r="X393" s="45" t="s">
        <v>1245</v>
      </c>
      <c r="Y393" s="45" t="s">
        <v>2117</v>
      </c>
      <c r="Z393" s="45" t="s">
        <v>663</v>
      </c>
      <c r="AA393" s="45" t="s">
        <v>523</v>
      </c>
      <c r="AB393" s="44" t="s">
        <v>1343</v>
      </c>
      <c r="AD393" s="46" t="s">
        <v>1206</v>
      </c>
      <c r="AE393" s="47" t="s">
        <v>802</v>
      </c>
    </row>
    <row r="394" spans="11:31" ht="17.25" customHeight="1" x14ac:dyDescent="0.25">
      <c r="K394" s="40" t="s">
        <v>710</v>
      </c>
      <c r="L394" s="41" t="s">
        <v>2742</v>
      </c>
      <c r="M394" s="41" t="s">
        <v>554</v>
      </c>
      <c r="N394" s="41" t="s">
        <v>3139</v>
      </c>
      <c r="O394" s="41" t="s">
        <v>2369</v>
      </c>
      <c r="P394" s="41" t="s">
        <v>3140</v>
      </c>
      <c r="Q394" s="42" t="s">
        <v>1341</v>
      </c>
      <c r="V394" s="43">
        <v>1423</v>
      </c>
      <c r="W394" s="45" t="s">
        <v>2118</v>
      </c>
      <c r="X394" s="45" t="s">
        <v>1246</v>
      </c>
      <c r="Y394" s="45" t="s">
        <v>2119</v>
      </c>
      <c r="Z394" s="45" t="s">
        <v>205</v>
      </c>
      <c r="AA394" s="45" t="s">
        <v>524</v>
      </c>
      <c r="AB394" s="44" t="s">
        <v>1343</v>
      </c>
      <c r="AD394" s="46" t="s">
        <v>1207</v>
      </c>
      <c r="AE394" s="47" t="s">
        <v>802</v>
      </c>
    </row>
    <row r="395" spans="11:31" ht="17.25" customHeight="1" x14ac:dyDescent="0.25">
      <c r="K395" s="40" t="s">
        <v>89</v>
      </c>
      <c r="L395" s="41" t="s">
        <v>2743</v>
      </c>
      <c r="M395" s="41" t="s">
        <v>537</v>
      </c>
      <c r="N395" s="41" t="s">
        <v>3142</v>
      </c>
      <c r="O395" s="41" t="s">
        <v>2369</v>
      </c>
      <c r="P395" s="41" t="s">
        <v>3152</v>
      </c>
      <c r="Q395" s="42" t="s">
        <v>1342</v>
      </c>
      <c r="V395" s="43">
        <v>1955</v>
      </c>
      <c r="W395" s="45" t="s">
        <v>2120</v>
      </c>
      <c r="X395" s="45" t="s">
        <v>1076</v>
      </c>
      <c r="Y395" s="45" t="s">
        <v>2121</v>
      </c>
      <c r="Z395" s="45" t="s">
        <v>2352</v>
      </c>
      <c r="AA395" s="45" t="s">
        <v>556</v>
      </c>
      <c r="AB395" s="44" t="s">
        <v>1341</v>
      </c>
      <c r="AD395" s="46" t="s">
        <v>1208</v>
      </c>
      <c r="AE395" s="47" t="s">
        <v>802</v>
      </c>
    </row>
    <row r="396" spans="11:31" ht="17.25" customHeight="1" x14ac:dyDescent="0.25">
      <c r="K396" s="40" t="s">
        <v>25</v>
      </c>
      <c r="L396" s="41" t="s">
        <v>2744</v>
      </c>
      <c r="M396" s="41" t="s">
        <v>536</v>
      </c>
      <c r="N396" s="41" t="s">
        <v>3142</v>
      </c>
      <c r="O396" s="41" t="s">
        <v>2369</v>
      </c>
      <c r="P396" s="41" t="s">
        <v>3152</v>
      </c>
      <c r="Q396" s="42" t="s">
        <v>1342</v>
      </c>
      <c r="V396" s="43">
        <v>1170</v>
      </c>
      <c r="W396" s="45" t="s">
        <v>2122</v>
      </c>
      <c r="X396" s="45" t="s">
        <v>1077</v>
      </c>
      <c r="Y396" s="45" t="s">
        <v>3214</v>
      </c>
      <c r="Z396" s="45" t="s">
        <v>2356</v>
      </c>
      <c r="AA396" s="45" t="s">
        <v>555</v>
      </c>
      <c r="AB396" s="44" t="s">
        <v>1341</v>
      </c>
      <c r="AD396" s="46" t="s">
        <v>1209</v>
      </c>
      <c r="AE396" s="47" t="s">
        <v>802</v>
      </c>
    </row>
    <row r="397" spans="11:31" ht="17.25" customHeight="1" x14ac:dyDescent="0.25">
      <c r="K397" s="40" t="s">
        <v>29</v>
      </c>
      <c r="L397" s="41" t="s">
        <v>2745</v>
      </c>
      <c r="M397" s="41" t="s">
        <v>538</v>
      </c>
      <c r="N397" s="41" t="s">
        <v>3142</v>
      </c>
      <c r="O397" s="41" t="s">
        <v>2369</v>
      </c>
      <c r="P397" s="41" t="s">
        <v>3152</v>
      </c>
      <c r="Q397" s="42" t="s">
        <v>1342</v>
      </c>
      <c r="V397" s="43">
        <v>2384</v>
      </c>
      <c r="W397" s="45" t="s">
        <v>2123</v>
      </c>
      <c r="X397" s="45" t="s">
        <v>1247</v>
      </c>
      <c r="Y397" s="45" t="s">
        <v>2124</v>
      </c>
      <c r="Z397" s="45" t="s">
        <v>218</v>
      </c>
      <c r="AA397" s="45" t="s">
        <v>524</v>
      </c>
      <c r="AB397" s="44" t="s">
        <v>1343</v>
      </c>
      <c r="AD397" s="46" t="s">
        <v>1210</v>
      </c>
      <c r="AE397" s="47" t="s">
        <v>802</v>
      </c>
    </row>
    <row r="398" spans="11:31" ht="17.25" customHeight="1" x14ac:dyDescent="0.25">
      <c r="K398" s="40" t="s">
        <v>781</v>
      </c>
      <c r="L398" s="41" t="s">
        <v>2746</v>
      </c>
      <c r="M398" s="41" t="s">
        <v>806</v>
      </c>
      <c r="N398" s="41" t="s">
        <v>3142</v>
      </c>
      <c r="O398" s="41" t="s">
        <v>2369</v>
      </c>
      <c r="P398" s="41" t="s">
        <v>3152</v>
      </c>
      <c r="Q398" s="42" t="s">
        <v>1342</v>
      </c>
      <c r="V398" s="43">
        <v>2283</v>
      </c>
      <c r="W398" s="45" t="s">
        <v>2125</v>
      </c>
      <c r="X398" s="45" t="s">
        <v>1248</v>
      </c>
      <c r="Y398" s="45" t="s">
        <v>2126</v>
      </c>
      <c r="Z398" s="45" t="s">
        <v>681</v>
      </c>
      <c r="AA398" s="45" t="s">
        <v>532</v>
      </c>
      <c r="AB398" s="44" t="s">
        <v>1343</v>
      </c>
      <c r="AD398" s="46" t="s">
        <v>1211</v>
      </c>
      <c r="AE398" s="47" t="s">
        <v>802</v>
      </c>
    </row>
    <row r="399" spans="11:31" ht="17.25" customHeight="1" x14ac:dyDescent="0.25">
      <c r="K399" s="40" t="s">
        <v>69</v>
      </c>
      <c r="L399" s="41" t="s">
        <v>2747</v>
      </c>
      <c r="M399" s="41" t="s">
        <v>539</v>
      </c>
      <c r="N399" s="41" t="s">
        <v>3142</v>
      </c>
      <c r="O399" s="41" t="s">
        <v>2369</v>
      </c>
      <c r="P399" s="41" t="s">
        <v>3152</v>
      </c>
      <c r="Q399" s="42" t="s">
        <v>1342</v>
      </c>
      <c r="V399" s="43">
        <v>1490</v>
      </c>
      <c r="W399" s="45" t="s">
        <v>2127</v>
      </c>
      <c r="X399" s="45" t="s">
        <v>1078</v>
      </c>
      <c r="Y399" s="45" t="s">
        <v>2128</v>
      </c>
      <c r="Z399" s="45" t="s">
        <v>140</v>
      </c>
      <c r="AA399" s="45" t="s">
        <v>713</v>
      </c>
      <c r="AB399" s="44" t="s">
        <v>1341</v>
      </c>
      <c r="AD399" s="46" t="s">
        <v>1212</v>
      </c>
      <c r="AE399" s="47" t="s">
        <v>802</v>
      </c>
    </row>
    <row r="400" spans="11:31" ht="17.25" customHeight="1" x14ac:dyDescent="0.25">
      <c r="K400" s="40" t="s">
        <v>50</v>
      </c>
      <c r="L400" s="41" t="s">
        <v>2748</v>
      </c>
      <c r="M400" s="41" t="s">
        <v>538</v>
      </c>
      <c r="N400" s="41" t="s">
        <v>3141</v>
      </c>
      <c r="O400" s="41" t="s">
        <v>2369</v>
      </c>
      <c r="P400" s="41" t="s">
        <v>3152</v>
      </c>
      <c r="Q400" s="42" t="s">
        <v>1342</v>
      </c>
      <c r="V400" s="43">
        <v>1194</v>
      </c>
      <c r="W400" s="45" t="s">
        <v>2129</v>
      </c>
      <c r="X400" s="45" t="s">
        <v>1079</v>
      </c>
      <c r="Y400" s="45" t="s">
        <v>2130</v>
      </c>
      <c r="Z400" s="45" t="s">
        <v>355</v>
      </c>
      <c r="AA400" s="45" t="s">
        <v>547</v>
      </c>
      <c r="AB400" s="44" t="s">
        <v>1341</v>
      </c>
      <c r="AD400" s="46" t="s">
        <v>1213</v>
      </c>
      <c r="AE400" s="47" t="s">
        <v>802</v>
      </c>
    </row>
    <row r="401" spans="11:31" ht="17.25" customHeight="1" x14ac:dyDescent="0.25">
      <c r="K401" s="40" t="s">
        <v>103</v>
      </c>
      <c r="L401" s="41" t="s">
        <v>2749</v>
      </c>
      <c r="M401" s="41" t="s">
        <v>537</v>
      </c>
      <c r="N401" s="41" t="s">
        <v>3139</v>
      </c>
      <c r="O401" s="41" t="s">
        <v>2369</v>
      </c>
      <c r="P401" s="41" t="s">
        <v>3152</v>
      </c>
      <c r="Q401" s="42" t="s">
        <v>1342</v>
      </c>
      <c r="V401" s="43">
        <v>1497</v>
      </c>
      <c r="W401" s="45" t="s">
        <v>2131</v>
      </c>
      <c r="X401" s="45" t="s">
        <v>1130</v>
      </c>
      <c r="Y401" s="45" t="s">
        <v>2132</v>
      </c>
      <c r="Z401" s="45" t="s">
        <v>778</v>
      </c>
      <c r="AA401" s="45" t="s">
        <v>806</v>
      </c>
      <c r="AB401" s="44" t="s">
        <v>1342</v>
      </c>
      <c r="AD401" s="46" t="s">
        <v>1214</v>
      </c>
      <c r="AE401" s="47" t="s">
        <v>802</v>
      </c>
    </row>
    <row r="402" spans="11:31" ht="17.25" customHeight="1" x14ac:dyDescent="0.25">
      <c r="K402" s="40" t="s">
        <v>89</v>
      </c>
      <c r="L402" s="41" t="s">
        <v>2743</v>
      </c>
      <c r="M402" s="41" t="s">
        <v>537</v>
      </c>
      <c r="N402" s="41" t="s">
        <v>3142</v>
      </c>
      <c r="O402" s="41" t="s">
        <v>2369</v>
      </c>
      <c r="P402" s="41" t="s">
        <v>3152</v>
      </c>
      <c r="Q402" s="42" t="s">
        <v>1342</v>
      </c>
      <c r="V402" s="43">
        <v>2326</v>
      </c>
      <c r="W402" s="45" t="s">
        <v>2133</v>
      </c>
      <c r="X402" s="45" t="s">
        <v>1251</v>
      </c>
      <c r="Y402" s="45" t="s">
        <v>2134</v>
      </c>
      <c r="Z402" s="45" t="s">
        <v>286</v>
      </c>
      <c r="AA402" s="45" t="s">
        <v>531</v>
      </c>
      <c r="AB402" s="44" t="s">
        <v>1343</v>
      </c>
      <c r="AD402" s="46" t="s">
        <v>1215</v>
      </c>
      <c r="AE402" s="47" t="s">
        <v>802</v>
      </c>
    </row>
    <row r="403" spans="11:31" ht="17.25" customHeight="1" x14ac:dyDescent="0.25">
      <c r="K403" s="40" t="s">
        <v>464</v>
      </c>
      <c r="L403" s="41" t="s">
        <v>2750</v>
      </c>
      <c r="M403" s="41" t="s">
        <v>536</v>
      </c>
      <c r="N403" s="41" t="s">
        <v>3139</v>
      </c>
      <c r="O403" s="41" t="s">
        <v>2369</v>
      </c>
      <c r="P403" s="41" t="s">
        <v>3152</v>
      </c>
      <c r="Q403" s="42" t="s">
        <v>1342</v>
      </c>
      <c r="V403" s="43">
        <v>2351</v>
      </c>
      <c r="W403" s="45" t="s">
        <v>2135</v>
      </c>
      <c r="X403" s="45" t="s">
        <v>1080</v>
      </c>
      <c r="Y403" s="45" t="s">
        <v>2136</v>
      </c>
      <c r="Z403" s="45" t="s">
        <v>308</v>
      </c>
      <c r="AA403" s="45" t="s">
        <v>545</v>
      </c>
      <c r="AB403" s="44" t="s">
        <v>1341</v>
      </c>
      <c r="AD403" s="46" t="s">
        <v>1216</v>
      </c>
      <c r="AE403" s="47" t="s">
        <v>802</v>
      </c>
    </row>
    <row r="404" spans="11:31" ht="17.25" customHeight="1" x14ac:dyDescent="0.25">
      <c r="K404" s="40" t="s">
        <v>302</v>
      </c>
      <c r="L404" s="41" t="s">
        <v>2751</v>
      </c>
      <c r="M404" s="41" t="s">
        <v>538</v>
      </c>
      <c r="N404" s="41" t="s">
        <v>3141</v>
      </c>
      <c r="O404" s="41" t="s">
        <v>2369</v>
      </c>
      <c r="P404" s="41" t="s">
        <v>3152</v>
      </c>
      <c r="Q404" s="42" t="s">
        <v>1342</v>
      </c>
      <c r="V404" s="43">
        <v>1956</v>
      </c>
      <c r="W404" s="45" t="s">
        <v>2137</v>
      </c>
      <c r="X404" s="45" t="s">
        <v>1081</v>
      </c>
      <c r="Y404" s="45" t="s">
        <v>2138</v>
      </c>
      <c r="Z404" s="45" t="s">
        <v>482</v>
      </c>
      <c r="AA404" s="45" t="s">
        <v>560</v>
      </c>
      <c r="AB404" s="44" t="s">
        <v>1341</v>
      </c>
      <c r="AD404" s="46" t="s">
        <v>1217</v>
      </c>
      <c r="AE404" s="47" t="s">
        <v>802</v>
      </c>
    </row>
    <row r="405" spans="11:31" ht="17.25" customHeight="1" x14ac:dyDescent="0.25">
      <c r="K405" s="40" t="s">
        <v>303</v>
      </c>
      <c r="L405" s="41" t="s">
        <v>2752</v>
      </c>
      <c r="M405" s="41" t="s">
        <v>538</v>
      </c>
      <c r="N405" s="41" t="s">
        <v>3141</v>
      </c>
      <c r="O405" s="41" t="s">
        <v>2369</v>
      </c>
      <c r="P405" s="41" t="s">
        <v>3152</v>
      </c>
      <c r="Q405" s="42" t="s">
        <v>1342</v>
      </c>
      <c r="V405" s="43">
        <v>1249</v>
      </c>
      <c r="W405" s="45" t="s">
        <v>2139</v>
      </c>
      <c r="X405" s="45" t="s">
        <v>2140</v>
      </c>
      <c r="Y405" s="45" t="s">
        <v>2141</v>
      </c>
      <c r="Z405" s="45" t="s">
        <v>775</v>
      </c>
      <c r="AA405" s="45" t="s">
        <v>541</v>
      </c>
      <c r="AB405" s="44" t="s">
        <v>1341</v>
      </c>
      <c r="AD405" s="46" t="s">
        <v>1218</v>
      </c>
      <c r="AE405" s="47" t="s">
        <v>802</v>
      </c>
    </row>
    <row r="406" spans="11:31" ht="17.25" customHeight="1" x14ac:dyDescent="0.25">
      <c r="K406" s="40" t="s">
        <v>300</v>
      </c>
      <c r="L406" s="41" t="s">
        <v>2753</v>
      </c>
      <c r="M406" s="41" t="s">
        <v>539</v>
      </c>
      <c r="N406" s="41" t="s">
        <v>3141</v>
      </c>
      <c r="O406" s="41" t="s">
        <v>2369</v>
      </c>
      <c r="P406" s="41" t="s">
        <v>3152</v>
      </c>
      <c r="Q406" s="42" t="s">
        <v>1342</v>
      </c>
      <c r="V406" s="43">
        <v>2447</v>
      </c>
      <c r="W406" s="45" t="s">
        <v>2142</v>
      </c>
      <c r="X406" s="45" t="s">
        <v>1252</v>
      </c>
      <c r="Y406" s="45" t="s">
        <v>2143</v>
      </c>
      <c r="Z406" s="45" t="s">
        <v>299</v>
      </c>
      <c r="AA406" s="45" t="s">
        <v>526</v>
      </c>
      <c r="AB406" s="44" t="s">
        <v>1343</v>
      </c>
      <c r="AD406" s="46" t="s">
        <v>1219</v>
      </c>
      <c r="AE406" s="47" t="s">
        <v>802</v>
      </c>
    </row>
    <row r="407" spans="11:31" ht="17.25" customHeight="1" x14ac:dyDescent="0.25">
      <c r="K407" s="40" t="s">
        <v>793</v>
      </c>
      <c r="L407" s="41" t="s">
        <v>2754</v>
      </c>
      <c r="M407" s="41" t="s">
        <v>539</v>
      </c>
      <c r="N407" s="41" t="s">
        <v>3139</v>
      </c>
      <c r="O407" s="41" t="s">
        <v>2369</v>
      </c>
      <c r="P407" s="41" t="s">
        <v>3152</v>
      </c>
      <c r="Q407" s="42" t="s">
        <v>1342</v>
      </c>
      <c r="V407" s="43">
        <v>2374</v>
      </c>
      <c r="W407" s="45" t="s">
        <v>2144</v>
      </c>
      <c r="X407" s="45" t="s">
        <v>1082</v>
      </c>
      <c r="Y407" s="45" t="s">
        <v>2145</v>
      </c>
      <c r="Z407" s="45" t="s">
        <v>672</v>
      </c>
      <c r="AA407" s="45" t="s">
        <v>546</v>
      </c>
      <c r="AB407" s="44" t="s">
        <v>1341</v>
      </c>
      <c r="AD407" s="46" t="s">
        <v>1220</v>
      </c>
      <c r="AE407" s="47" t="s">
        <v>802</v>
      </c>
    </row>
    <row r="408" spans="11:31" ht="17.25" customHeight="1" x14ac:dyDescent="0.25">
      <c r="K408" s="40" t="s">
        <v>301</v>
      </c>
      <c r="L408" s="41" t="s">
        <v>2755</v>
      </c>
      <c r="M408" s="41" t="s">
        <v>539</v>
      </c>
      <c r="N408" s="41" t="s">
        <v>3141</v>
      </c>
      <c r="O408" s="41" t="s">
        <v>2369</v>
      </c>
      <c r="P408" s="41" t="s">
        <v>3152</v>
      </c>
      <c r="Q408" s="42" t="s">
        <v>1342</v>
      </c>
      <c r="V408" s="43">
        <v>1286</v>
      </c>
      <c r="W408" s="45" t="s">
        <v>2146</v>
      </c>
      <c r="X408" s="45" t="s">
        <v>869</v>
      </c>
      <c r="Y408" s="45" t="s">
        <v>2147</v>
      </c>
      <c r="Z408" s="45" t="s">
        <v>191</v>
      </c>
      <c r="AA408" s="45" t="s">
        <v>500</v>
      </c>
      <c r="AB408" s="44" t="s">
        <v>500</v>
      </c>
      <c r="AD408" s="46" t="s">
        <v>1221</v>
      </c>
      <c r="AE408" s="47" t="s">
        <v>802</v>
      </c>
    </row>
    <row r="409" spans="11:31" ht="17.25" customHeight="1" x14ac:dyDescent="0.25">
      <c r="K409" s="40" t="s">
        <v>786</v>
      </c>
      <c r="L409" s="41" t="s">
        <v>2756</v>
      </c>
      <c r="M409" s="41" t="s">
        <v>806</v>
      </c>
      <c r="N409" s="41" t="s">
        <v>3141</v>
      </c>
      <c r="O409" s="41" t="s">
        <v>2369</v>
      </c>
      <c r="P409" s="41" t="s">
        <v>3152</v>
      </c>
      <c r="Q409" s="42" t="s">
        <v>1342</v>
      </c>
      <c r="V409" s="43">
        <v>2322</v>
      </c>
      <c r="W409" s="45" t="s">
        <v>2148</v>
      </c>
      <c r="X409" s="45" t="s">
        <v>1253</v>
      </c>
      <c r="Y409" s="45" t="s">
        <v>2149</v>
      </c>
      <c r="Z409" s="45" t="s">
        <v>287</v>
      </c>
      <c r="AA409" s="45" t="s">
        <v>528</v>
      </c>
      <c r="AB409" s="44" t="s">
        <v>1343</v>
      </c>
      <c r="AD409" s="46" t="s">
        <v>1222</v>
      </c>
      <c r="AE409" s="47" t="s">
        <v>802</v>
      </c>
    </row>
    <row r="410" spans="11:31" ht="17.25" customHeight="1" x14ac:dyDescent="0.25">
      <c r="K410" s="40" t="s">
        <v>779</v>
      </c>
      <c r="L410" s="41" t="s">
        <v>2757</v>
      </c>
      <c r="M410" s="41" t="s">
        <v>806</v>
      </c>
      <c r="N410" s="41" t="s">
        <v>3141</v>
      </c>
      <c r="O410" s="41" t="s">
        <v>2369</v>
      </c>
      <c r="P410" s="41" t="s">
        <v>3152</v>
      </c>
      <c r="Q410" s="42" t="s">
        <v>1342</v>
      </c>
      <c r="V410" s="43">
        <v>1276</v>
      </c>
      <c r="W410" s="45" t="s">
        <v>2150</v>
      </c>
      <c r="X410" s="45" t="s">
        <v>870</v>
      </c>
      <c r="Y410" s="45" t="s">
        <v>2151</v>
      </c>
      <c r="Z410" s="45" t="s">
        <v>197</v>
      </c>
      <c r="AA410" s="45" t="s">
        <v>500</v>
      </c>
      <c r="AB410" s="44" t="s">
        <v>500</v>
      </c>
      <c r="AD410" s="46" t="s">
        <v>1223</v>
      </c>
      <c r="AE410" s="47" t="s">
        <v>802</v>
      </c>
    </row>
    <row r="411" spans="11:31" ht="17.25" customHeight="1" x14ac:dyDescent="0.25">
      <c r="K411" s="40" t="s">
        <v>786</v>
      </c>
      <c r="L411" s="41" t="s">
        <v>2756</v>
      </c>
      <c r="M411" s="41" t="s">
        <v>806</v>
      </c>
      <c r="N411" s="41" t="s">
        <v>3141</v>
      </c>
      <c r="O411" s="41" t="s">
        <v>2369</v>
      </c>
      <c r="P411" s="41" t="s">
        <v>3152</v>
      </c>
      <c r="Q411" s="42" t="s">
        <v>1342</v>
      </c>
      <c r="V411" s="43">
        <v>1328</v>
      </c>
      <c r="W411" s="45" t="s">
        <v>2152</v>
      </c>
      <c r="X411" s="45" t="s">
        <v>1254</v>
      </c>
      <c r="Y411" s="45" t="s">
        <v>2153</v>
      </c>
      <c r="Z411" s="45" t="s">
        <v>215</v>
      </c>
      <c r="AA411" s="45" t="s">
        <v>533</v>
      </c>
      <c r="AB411" s="44" t="s">
        <v>1343</v>
      </c>
      <c r="AD411" s="46" t="s">
        <v>1224</v>
      </c>
      <c r="AE411" s="47" t="s">
        <v>802</v>
      </c>
    </row>
    <row r="412" spans="11:31" ht="17.25" customHeight="1" x14ac:dyDescent="0.25">
      <c r="K412" s="40" t="s">
        <v>779</v>
      </c>
      <c r="L412" s="41" t="s">
        <v>2757</v>
      </c>
      <c r="M412" s="41" t="s">
        <v>806</v>
      </c>
      <c r="N412" s="41" t="s">
        <v>3141</v>
      </c>
      <c r="O412" s="41" t="s">
        <v>2369</v>
      </c>
      <c r="P412" s="41" t="s">
        <v>3152</v>
      </c>
      <c r="Q412" s="42" t="s">
        <v>1342</v>
      </c>
      <c r="V412" s="43">
        <v>1245</v>
      </c>
      <c r="W412" s="45" t="s">
        <v>2154</v>
      </c>
      <c r="X412" s="45" t="s">
        <v>1083</v>
      </c>
      <c r="Y412" s="45" t="s">
        <v>2155</v>
      </c>
      <c r="Z412" s="45" t="s">
        <v>324</v>
      </c>
      <c r="AA412" s="45" t="s">
        <v>552</v>
      </c>
      <c r="AB412" s="44" t="s">
        <v>1341</v>
      </c>
      <c r="AD412" s="46" t="s">
        <v>1225</v>
      </c>
      <c r="AE412" s="47" t="s">
        <v>802</v>
      </c>
    </row>
    <row r="413" spans="11:31" ht="17.25" customHeight="1" x14ac:dyDescent="0.25">
      <c r="K413" s="40" t="s">
        <v>322</v>
      </c>
      <c r="L413" s="41" t="s">
        <v>2758</v>
      </c>
      <c r="M413" s="41" t="s">
        <v>537</v>
      </c>
      <c r="N413" s="41" t="s">
        <v>3141</v>
      </c>
      <c r="O413" s="41" t="s">
        <v>2369</v>
      </c>
      <c r="P413" s="41" t="s">
        <v>3152</v>
      </c>
      <c r="Q413" s="42" t="s">
        <v>1342</v>
      </c>
      <c r="V413" s="43">
        <v>2312</v>
      </c>
      <c r="W413" s="45" t="s">
        <v>2156</v>
      </c>
      <c r="X413" s="45" t="s">
        <v>1084</v>
      </c>
      <c r="Y413" s="45" t="s">
        <v>2157</v>
      </c>
      <c r="Z413" s="45" t="s">
        <v>387</v>
      </c>
      <c r="AA413" s="45" t="s">
        <v>542</v>
      </c>
      <c r="AB413" s="44" t="s">
        <v>1341</v>
      </c>
      <c r="AD413" s="46" t="s">
        <v>1226</v>
      </c>
      <c r="AE413" s="47" t="s">
        <v>802</v>
      </c>
    </row>
    <row r="414" spans="11:31" ht="17.25" customHeight="1" x14ac:dyDescent="0.25">
      <c r="K414" s="40" t="s">
        <v>318</v>
      </c>
      <c r="L414" s="41" t="s">
        <v>2759</v>
      </c>
      <c r="M414" s="41" t="s">
        <v>536</v>
      </c>
      <c r="N414" s="41" t="s">
        <v>3141</v>
      </c>
      <c r="O414" s="41" t="s">
        <v>2369</v>
      </c>
      <c r="P414" s="41" t="s">
        <v>3152</v>
      </c>
      <c r="Q414" s="42" t="s">
        <v>1342</v>
      </c>
      <c r="V414" s="43">
        <v>2379</v>
      </c>
      <c r="W414" s="45" t="s">
        <v>2158</v>
      </c>
      <c r="X414" s="45" t="s">
        <v>1085</v>
      </c>
      <c r="Y414" s="45" t="s">
        <v>2159</v>
      </c>
      <c r="Z414" s="45" t="s">
        <v>2325</v>
      </c>
      <c r="AA414" s="45" t="s">
        <v>552</v>
      </c>
      <c r="AB414" s="44" t="s">
        <v>1341</v>
      </c>
      <c r="AD414" s="46" t="s">
        <v>1227</v>
      </c>
      <c r="AE414" s="47" t="s">
        <v>802</v>
      </c>
    </row>
    <row r="415" spans="11:31" ht="17.25" customHeight="1" x14ac:dyDescent="0.25">
      <c r="K415" s="40" t="s">
        <v>307</v>
      </c>
      <c r="L415" s="41" t="s">
        <v>2760</v>
      </c>
      <c r="M415" s="41" t="s">
        <v>537</v>
      </c>
      <c r="N415" s="41" t="s">
        <v>3141</v>
      </c>
      <c r="O415" s="41" t="s">
        <v>2369</v>
      </c>
      <c r="P415" s="41" t="s">
        <v>3152</v>
      </c>
      <c r="Q415" s="42" t="s">
        <v>1342</v>
      </c>
      <c r="V415" s="43">
        <v>1890</v>
      </c>
      <c r="W415" s="45" t="s">
        <v>2160</v>
      </c>
      <c r="X415" s="45" t="s">
        <v>1032</v>
      </c>
      <c r="Y415" s="45" t="s">
        <v>2161</v>
      </c>
      <c r="Z415" s="45" t="s">
        <v>12</v>
      </c>
      <c r="AA415" s="45" t="s">
        <v>549</v>
      </c>
      <c r="AB415" s="44" t="s">
        <v>1341</v>
      </c>
      <c r="AD415" s="46" t="s">
        <v>1228</v>
      </c>
      <c r="AE415" s="47" t="s">
        <v>802</v>
      </c>
    </row>
    <row r="416" spans="11:31" ht="17.25" customHeight="1" x14ac:dyDescent="0.25">
      <c r="K416" s="40" t="s">
        <v>313</v>
      </c>
      <c r="L416" s="41" t="s">
        <v>2761</v>
      </c>
      <c r="M416" s="41" t="s">
        <v>537</v>
      </c>
      <c r="N416" s="41" t="s">
        <v>3141</v>
      </c>
      <c r="O416" s="41" t="s">
        <v>2369</v>
      </c>
      <c r="P416" s="41" t="s">
        <v>3152</v>
      </c>
      <c r="Q416" s="42" t="s">
        <v>1342</v>
      </c>
      <c r="V416" s="43">
        <v>1505</v>
      </c>
      <c r="W416" s="45" t="s">
        <v>2162</v>
      </c>
      <c r="X416" s="45" t="s">
        <v>1099</v>
      </c>
      <c r="Y416" s="45" t="s">
        <v>2163</v>
      </c>
      <c r="Z416" s="45" t="s">
        <v>21</v>
      </c>
      <c r="AA416" s="45" t="s">
        <v>549</v>
      </c>
      <c r="AB416" s="44" t="s">
        <v>1341</v>
      </c>
      <c r="AD416" s="46" t="s">
        <v>1229</v>
      </c>
      <c r="AE416" s="47" t="s">
        <v>802</v>
      </c>
    </row>
    <row r="417" spans="11:31" ht="17.25" customHeight="1" x14ac:dyDescent="0.25">
      <c r="K417" s="40" t="s">
        <v>751</v>
      </c>
      <c r="L417" s="41" t="s">
        <v>2762</v>
      </c>
      <c r="M417" s="41" t="s">
        <v>539</v>
      </c>
      <c r="N417" s="41" t="s">
        <v>3139</v>
      </c>
      <c r="O417" s="41" t="s">
        <v>2369</v>
      </c>
      <c r="P417" s="41" t="s">
        <v>3152</v>
      </c>
      <c r="Q417" s="42" t="s">
        <v>1342</v>
      </c>
      <c r="V417" s="43">
        <v>1444</v>
      </c>
      <c r="W417" s="45" t="s">
        <v>2164</v>
      </c>
      <c r="X417" s="45" t="s">
        <v>1256</v>
      </c>
      <c r="Y417" s="45" t="s">
        <v>2165</v>
      </c>
      <c r="Z417" s="45" t="s">
        <v>684</v>
      </c>
      <c r="AA417" s="45" t="s">
        <v>532</v>
      </c>
      <c r="AB417" s="44" t="s">
        <v>1343</v>
      </c>
      <c r="AD417" s="46" t="s">
        <v>1230</v>
      </c>
      <c r="AE417" s="47" t="s">
        <v>802</v>
      </c>
    </row>
    <row r="418" spans="11:31" ht="17.25" customHeight="1" x14ac:dyDescent="0.25">
      <c r="K418" s="40" t="s">
        <v>321</v>
      </c>
      <c r="L418" s="41" t="s">
        <v>2763</v>
      </c>
      <c r="M418" s="41" t="s">
        <v>538</v>
      </c>
      <c r="N418" s="41" t="s">
        <v>3141</v>
      </c>
      <c r="O418" s="41" t="s">
        <v>2369</v>
      </c>
      <c r="P418" s="41" t="s">
        <v>3152</v>
      </c>
      <c r="Q418" s="42" t="s">
        <v>1342</v>
      </c>
      <c r="V418" s="43">
        <v>1439</v>
      </c>
      <c r="W418" s="45" t="s">
        <v>2166</v>
      </c>
      <c r="X418" s="45" t="s">
        <v>1250</v>
      </c>
      <c r="Y418" s="45" t="s">
        <v>2167</v>
      </c>
      <c r="Z418" s="45" t="s">
        <v>2347</v>
      </c>
      <c r="AA418" s="45" t="s">
        <v>532</v>
      </c>
      <c r="AB418" s="44" t="s">
        <v>1343</v>
      </c>
      <c r="AD418" s="46" t="s">
        <v>1231</v>
      </c>
      <c r="AE418" s="47" t="s">
        <v>802</v>
      </c>
    </row>
    <row r="419" spans="11:31" ht="17.25" customHeight="1" x14ac:dyDescent="0.25">
      <c r="K419" s="40" t="s">
        <v>304</v>
      </c>
      <c r="L419" s="41" t="s">
        <v>2764</v>
      </c>
      <c r="M419" s="41" t="s">
        <v>539</v>
      </c>
      <c r="N419" s="41" t="s">
        <v>3141</v>
      </c>
      <c r="O419" s="41" t="s">
        <v>2369</v>
      </c>
      <c r="P419" s="41" t="s">
        <v>3152</v>
      </c>
      <c r="Q419" s="42" t="s">
        <v>1342</v>
      </c>
      <c r="V419" s="43">
        <v>2333</v>
      </c>
      <c r="W419" s="45" t="s">
        <v>2168</v>
      </c>
      <c r="X419" s="45" t="s">
        <v>1257</v>
      </c>
      <c r="Y419" s="45" t="s">
        <v>2169</v>
      </c>
      <c r="Z419" s="45" t="s">
        <v>682</v>
      </c>
      <c r="AA419" s="45" t="s">
        <v>514</v>
      </c>
      <c r="AB419" s="44" t="s">
        <v>1343</v>
      </c>
      <c r="AD419" s="46" t="s">
        <v>1232</v>
      </c>
      <c r="AE419" s="47" t="s">
        <v>802</v>
      </c>
    </row>
    <row r="420" spans="11:31" ht="17.25" customHeight="1" x14ac:dyDescent="0.25">
      <c r="K420" s="40" t="s">
        <v>789</v>
      </c>
      <c r="L420" s="41" t="s">
        <v>2765</v>
      </c>
      <c r="M420" s="41" t="s">
        <v>806</v>
      </c>
      <c r="N420" s="41" t="s">
        <v>3141</v>
      </c>
      <c r="O420" s="41" t="s">
        <v>2369</v>
      </c>
      <c r="P420" s="41" t="s">
        <v>3152</v>
      </c>
      <c r="Q420" s="42" t="s">
        <v>1342</v>
      </c>
      <c r="V420" s="43">
        <v>1422</v>
      </c>
      <c r="W420" s="45" t="s">
        <v>2170</v>
      </c>
      <c r="X420" s="45" t="s">
        <v>1258</v>
      </c>
      <c r="Y420" s="45" t="s">
        <v>2171</v>
      </c>
      <c r="Z420" s="45" t="s">
        <v>108</v>
      </c>
      <c r="AA420" s="45" t="s">
        <v>509</v>
      </c>
      <c r="AB420" s="44" t="s">
        <v>1343</v>
      </c>
      <c r="AD420" s="46" t="s">
        <v>1233</v>
      </c>
      <c r="AE420" s="47" t="s">
        <v>802</v>
      </c>
    </row>
    <row r="421" spans="11:31" ht="17.25" customHeight="1" x14ac:dyDescent="0.25">
      <c r="K421" s="40" t="s">
        <v>789</v>
      </c>
      <c r="L421" s="41" t="s">
        <v>2765</v>
      </c>
      <c r="M421" s="41" t="s">
        <v>806</v>
      </c>
      <c r="N421" s="41" t="s">
        <v>3141</v>
      </c>
      <c r="O421" s="41" t="s">
        <v>2369</v>
      </c>
      <c r="P421" s="41" t="s">
        <v>3152</v>
      </c>
      <c r="Q421" s="42" t="s">
        <v>1342</v>
      </c>
      <c r="V421" s="43">
        <v>1285</v>
      </c>
      <c r="W421" s="45" t="s">
        <v>2172</v>
      </c>
      <c r="X421" s="45" t="s">
        <v>871</v>
      </c>
      <c r="Y421" s="45" t="s">
        <v>2173</v>
      </c>
      <c r="Z421" s="45" t="s">
        <v>199</v>
      </c>
      <c r="AA421" s="45" t="s">
        <v>500</v>
      </c>
      <c r="AB421" s="44" t="s">
        <v>500</v>
      </c>
      <c r="AD421" s="46" t="s">
        <v>1234</v>
      </c>
      <c r="AE421" s="47" t="s">
        <v>802</v>
      </c>
    </row>
    <row r="422" spans="11:31" ht="17.25" customHeight="1" x14ac:dyDescent="0.25">
      <c r="K422" s="40" t="s">
        <v>755</v>
      </c>
      <c r="L422" s="41" t="s">
        <v>2766</v>
      </c>
      <c r="M422" s="41" t="s">
        <v>538</v>
      </c>
      <c r="N422" s="41" t="s">
        <v>3139</v>
      </c>
      <c r="O422" s="41" t="s">
        <v>2369</v>
      </c>
      <c r="P422" s="41" t="s">
        <v>3152</v>
      </c>
      <c r="Q422" s="42" t="s">
        <v>1342</v>
      </c>
      <c r="V422" s="43">
        <v>1186</v>
      </c>
      <c r="W422" s="45" t="s">
        <v>2174</v>
      </c>
      <c r="X422" s="45" t="s">
        <v>1086</v>
      </c>
      <c r="Y422" s="45" t="s">
        <v>2175</v>
      </c>
      <c r="Z422" s="45" t="s">
        <v>2357</v>
      </c>
      <c r="AA422" s="45" t="s">
        <v>545</v>
      </c>
      <c r="AB422" s="44" t="s">
        <v>1341</v>
      </c>
      <c r="AD422" s="46" t="s">
        <v>1235</v>
      </c>
      <c r="AE422" s="47" t="s">
        <v>802</v>
      </c>
    </row>
    <row r="423" spans="11:31" ht="17.25" customHeight="1" x14ac:dyDescent="0.25">
      <c r="K423" s="40" t="s">
        <v>778</v>
      </c>
      <c r="L423" s="41" t="s">
        <v>2557</v>
      </c>
      <c r="M423" s="41" t="s">
        <v>806</v>
      </c>
      <c r="N423" s="41" t="s">
        <v>3139</v>
      </c>
      <c r="O423" s="41" t="s">
        <v>2369</v>
      </c>
      <c r="P423" s="41" t="s">
        <v>3152</v>
      </c>
      <c r="Q423" s="42" t="s">
        <v>1342</v>
      </c>
      <c r="V423" s="43">
        <v>1316</v>
      </c>
      <c r="W423" s="45" t="s">
        <v>2176</v>
      </c>
      <c r="X423" s="45" t="s">
        <v>1259</v>
      </c>
      <c r="Y423" s="45" t="s">
        <v>2177</v>
      </c>
      <c r="Z423" s="45" t="s">
        <v>744</v>
      </c>
      <c r="AA423" s="45" t="s">
        <v>525</v>
      </c>
      <c r="AB423" s="44" t="s">
        <v>1343</v>
      </c>
      <c r="AD423" s="46" t="s">
        <v>1236</v>
      </c>
      <c r="AE423" s="47" t="s">
        <v>802</v>
      </c>
    </row>
    <row r="424" spans="11:31" ht="17.25" customHeight="1" x14ac:dyDescent="0.25">
      <c r="K424" s="40" t="s">
        <v>778</v>
      </c>
      <c r="L424" s="41" t="s">
        <v>2557</v>
      </c>
      <c r="M424" s="41" t="s">
        <v>806</v>
      </c>
      <c r="N424" s="41" t="s">
        <v>3139</v>
      </c>
      <c r="O424" s="41" t="s">
        <v>2369</v>
      </c>
      <c r="P424" s="41" t="s">
        <v>3152</v>
      </c>
      <c r="Q424" s="42" t="s">
        <v>1342</v>
      </c>
      <c r="V424" s="43">
        <v>1277</v>
      </c>
      <c r="W424" s="45" t="s">
        <v>2178</v>
      </c>
      <c r="X424" s="45" t="s">
        <v>872</v>
      </c>
      <c r="Y424" s="45" t="s">
        <v>2179</v>
      </c>
      <c r="Z424" s="45" t="s">
        <v>194</v>
      </c>
      <c r="AA424" s="45" t="s">
        <v>500</v>
      </c>
      <c r="AB424" s="44" t="s">
        <v>500</v>
      </c>
      <c r="AD424" s="46" t="s">
        <v>1237</v>
      </c>
      <c r="AE424" s="47" t="s">
        <v>802</v>
      </c>
    </row>
    <row r="425" spans="11:31" ht="17.25" customHeight="1" x14ac:dyDescent="0.25">
      <c r="K425" s="40" t="s">
        <v>415</v>
      </c>
      <c r="L425" s="41" t="s">
        <v>2767</v>
      </c>
      <c r="M425" s="41" t="s">
        <v>537</v>
      </c>
      <c r="N425" s="41" t="s">
        <v>3139</v>
      </c>
      <c r="O425" s="41" t="s">
        <v>2369</v>
      </c>
      <c r="P425" s="41" t="s">
        <v>3152</v>
      </c>
      <c r="Q425" s="42" t="s">
        <v>1342</v>
      </c>
      <c r="V425" s="43">
        <v>1938</v>
      </c>
      <c r="W425" s="45" t="s">
        <v>2180</v>
      </c>
      <c r="X425" s="45" t="s">
        <v>1260</v>
      </c>
      <c r="Y425" s="45" t="s">
        <v>2181</v>
      </c>
      <c r="Z425" s="45" t="s">
        <v>456</v>
      </c>
      <c r="AA425" s="45" t="s">
        <v>529</v>
      </c>
      <c r="AB425" s="44" t="s">
        <v>1343</v>
      </c>
      <c r="AD425" s="46" t="s">
        <v>1238</v>
      </c>
      <c r="AE425" s="47" t="s">
        <v>802</v>
      </c>
    </row>
    <row r="426" spans="11:31" ht="17.25" customHeight="1" x14ac:dyDescent="0.25">
      <c r="K426" s="40" t="s">
        <v>1320</v>
      </c>
      <c r="L426" s="41" t="s">
        <v>2773</v>
      </c>
      <c r="M426" s="41" t="s">
        <v>537</v>
      </c>
      <c r="N426" s="41" t="s">
        <v>3139</v>
      </c>
      <c r="O426" s="41" t="s">
        <v>2369</v>
      </c>
      <c r="P426" s="41" t="s">
        <v>3152</v>
      </c>
      <c r="Q426" s="42" t="s">
        <v>1342</v>
      </c>
      <c r="V426" s="43">
        <v>1401</v>
      </c>
      <c r="W426" s="45" t="s">
        <v>2182</v>
      </c>
      <c r="X426" s="45" t="s">
        <v>1261</v>
      </c>
      <c r="Y426" s="45" t="s">
        <v>2183</v>
      </c>
      <c r="Z426" s="45" t="s">
        <v>625</v>
      </c>
      <c r="AA426" s="45" t="s">
        <v>533</v>
      </c>
      <c r="AB426" s="44" t="s">
        <v>1343</v>
      </c>
      <c r="AD426" s="46" t="s">
        <v>1239</v>
      </c>
      <c r="AE426" s="47" t="s">
        <v>802</v>
      </c>
    </row>
    <row r="427" spans="11:31" ht="17.25" customHeight="1" x14ac:dyDescent="0.25">
      <c r="K427" s="40" t="s">
        <v>317</v>
      </c>
      <c r="L427" s="41" t="s">
        <v>2768</v>
      </c>
      <c r="M427" s="41" t="s">
        <v>536</v>
      </c>
      <c r="N427" s="41" t="s">
        <v>3139</v>
      </c>
      <c r="O427" s="41" t="s">
        <v>2369</v>
      </c>
      <c r="P427" s="41" t="s">
        <v>3152</v>
      </c>
      <c r="Q427" s="42" t="s">
        <v>1342</v>
      </c>
      <c r="V427" s="43">
        <v>1958</v>
      </c>
      <c r="W427" s="45" t="s">
        <v>2184</v>
      </c>
      <c r="X427" s="45" t="s">
        <v>1262</v>
      </c>
      <c r="Y427" s="45" t="s">
        <v>2185</v>
      </c>
      <c r="Z427" s="45" t="s">
        <v>2355</v>
      </c>
      <c r="AA427" s="45" t="s">
        <v>522</v>
      </c>
      <c r="AB427" s="44" t="s">
        <v>1343</v>
      </c>
      <c r="AD427" s="46" t="s">
        <v>1240</v>
      </c>
      <c r="AE427" s="47" t="s">
        <v>802</v>
      </c>
    </row>
    <row r="428" spans="11:31" ht="17.25" customHeight="1" x14ac:dyDescent="0.25">
      <c r="K428" s="40" t="s">
        <v>774</v>
      </c>
      <c r="L428" s="41" t="s">
        <v>2769</v>
      </c>
      <c r="M428" s="41" t="s">
        <v>806</v>
      </c>
      <c r="N428" s="41" t="s">
        <v>3141</v>
      </c>
      <c r="O428" s="41" t="s">
        <v>2369</v>
      </c>
      <c r="P428" s="41" t="s">
        <v>3152</v>
      </c>
      <c r="Q428" s="42" t="s">
        <v>1342</v>
      </c>
      <c r="V428" s="43">
        <v>1409</v>
      </c>
      <c r="W428" s="45" t="s">
        <v>2186</v>
      </c>
      <c r="X428" s="45" t="s">
        <v>1088</v>
      </c>
      <c r="Y428" s="45" t="s">
        <v>2187</v>
      </c>
      <c r="Z428" s="45" t="s">
        <v>141</v>
      </c>
      <c r="AA428" s="45" t="s">
        <v>540</v>
      </c>
      <c r="AB428" s="44" t="s">
        <v>1341</v>
      </c>
      <c r="AD428" s="46" t="s">
        <v>1241</v>
      </c>
      <c r="AE428" s="47" t="s">
        <v>802</v>
      </c>
    </row>
    <row r="429" spans="11:31" ht="17.25" customHeight="1" x14ac:dyDescent="0.25">
      <c r="K429" s="40" t="s">
        <v>573</v>
      </c>
      <c r="L429" s="41" t="s">
        <v>2770</v>
      </c>
      <c r="M429" s="41" t="s">
        <v>537</v>
      </c>
      <c r="N429" s="41" t="s">
        <v>3139</v>
      </c>
      <c r="O429" s="41" t="s">
        <v>2369</v>
      </c>
      <c r="P429" s="41" t="s">
        <v>3152</v>
      </c>
      <c r="Q429" s="42" t="s">
        <v>1342</v>
      </c>
      <c r="V429" s="43">
        <v>2419</v>
      </c>
      <c r="W429" s="45" t="s">
        <v>2188</v>
      </c>
      <c r="X429" s="45" t="s">
        <v>1089</v>
      </c>
      <c r="Y429" s="45" t="s">
        <v>2189</v>
      </c>
      <c r="Z429" s="45" t="s">
        <v>178</v>
      </c>
      <c r="AA429" s="45" t="s">
        <v>544</v>
      </c>
      <c r="AB429" s="44" t="s">
        <v>1341</v>
      </c>
      <c r="AD429" s="46" t="s">
        <v>1242</v>
      </c>
      <c r="AE429" s="47" t="s">
        <v>802</v>
      </c>
    </row>
    <row r="430" spans="11:31" ht="17.25" customHeight="1" x14ac:dyDescent="0.25">
      <c r="K430" s="40" t="s">
        <v>305</v>
      </c>
      <c r="L430" s="41" t="s">
        <v>2771</v>
      </c>
      <c r="M430" s="41" t="s">
        <v>536</v>
      </c>
      <c r="N430" s="41" t="s">
        <v>3139</v>
      </c>
      <c r="O430" s="41" t="s">
        <v>2369</v>
      </c>
      <c r="P430" s="41" t="s">
        <v>3152</v>
      </c>
      <c r="Q430" s="42" t="s">
        <v>1342</v>
      </c>
      <c r="V430" s="43">
        <v>1424</v>
      </c>
      <c r="W430" s="45" t="s">
        <v>2190</v>
      </c>
      <c r="X430" s="45" t="s">
        <v>1090</v>
      </c>
      <c r="Y430" s="45" t="s">
        <v>2191</v>
      </c>
      <c r="Z430" s="45" t="s">
        <v>381</v>
      </c>
      <c r="AA430" s="45" t="s">
        <v>502</v>
      </c>
      <c r="AB430" s="44" t="s">
        <v>1341</v>
      </c>
      <c r="AD430" s="46" t="s">
        <v>1243</v>
      </c>
      <c r="AE430" s="47" t="s">
        <v>802</v>
      </c>
    </row>
    <row r="431" spans="11:31" ht="17.25" customHeight="1" x14ac:dyDescent="0.25">
      <c r="K431" s="40" t="s">
        <v>103</v>
      </c>
      <c r="L431" s="41" t="s">
        <v>2749</v>
      </c>
      <c r="M431" s="41" t="s">
        <v>537</v>
      </c>
      <c r="N431" s="41" t="s">
        <v>3139</v>
      </c>
      <c r="O431" s="41" t="s">
        <v>2369</v>
      </c>
      <c r="P431" s="41" t="s">
        <v>3152</v>
      </c>
      <c r="Q431" s="42" t="s">
        <v>1342</v>
      </c>
      <c r="V431" s="43">
        <v>2444</v>
      </c>
      <c r="W431" s="45" t="s">
        <v>2192</v>
      </c>
      <c r="X431" s="45" t="s">
        <v>1091</v>
      </c>
      <c r="Y431" s="45" t="s">
        <v>2193</v>
      </c>
      <c r="Z431" s="45" t="s">
        <v>181</v>
      </c>
      <c r="AA431" s="45" t="s">
        <v>544</v>
      </c>
      <c r="AB431" s="44" t="s">
        <v>1341</v>
      </c>
      <c r="AD431" s="46" t="s">
        <v>1244</v>
      </c>
      <c r="AE431" s="47" t="s">
        <v>802</v>
      </c>
    </row>
    <row r="432" spans="11:31" ht="17.25" customHeight="1" x14ac:dyDescent="0.25">
      <c r="K432" s="40" t="s">
        <v>573</v>
      </c>
      <c r="L432" s="41" t="s">
        <v>2770</v>
      </c>
      <c r="M432" s="41" t="s">
        <v>537</v>
      </c>
      <c r="N432" s="41" t="s">
        <v>3139</v>
      </c>
      <c r="O432" s="41" t="s">
        <v>2369</v>
      </c>
      <c r="P432" s="41" t="s">
        <v>3152</v>
      </c>
      <c r="Q432" s="42" t="s">
        <v>1342</v>
      </c>
      <c r="V432" s="43">
        <v>1509</v>
      </c>
      <c r="W432" s="45" t="s">
        <v>2194</v>
      </c>
      <c r="X432" s="45" t="s">
        <v>1263</v>
      </c>
      <c r="Y432" s="45" t="s">
        <v>2195</v>
      </c>
      <c r="Z432" s="45" t="s">
        <v>466</v>
      </c>
      <c r="AA432" s="45" t="s">
        <v>1322</v>
      </c>
      <c r="AB432" s="44" t="s">
        <v>1343</v>
      </c>
      <c r="AD432" s="46" t="s">
        <v>1245</v>
      </c>
      <c r="AE432" s="47" t="s">
        <v>802</v>
      </c>
    </row>
    <row r="433" spans="11:31" ht="17.25" customHeight="1" x14ac:dyDescent="0.25">
      <c r="K433" s="40" t="s">
        <v>774</v>
      </c>
      <c r="L433" s="41" t="s">
        <v>2769</v>
      </c>
      <c r="M433" s="41" t="s">
        <v>806</v>
      </c>
      <c r="N433" s="41" t="s">
        <v>3141</v>
      </c>
      <c r="O433" s="41" t="s">
        <v>2369</v>
      </c>
      <c r="P433" s="41" t="s">
        <v>3152</v>
      </c>
      <c r="Q433" s="42" t="s">
        <v>1342</v>
      </c>
      <c r="V433" s="43">
        <v>1445</v>
      </c>
      <c r="W433" s="45" t="s">
        <v>2196</v>
      </c>
      <c r="X433" s="45" t="s">
        <v>1092</v>
      </c>
      <c r="Y433" s="45" t="s">
        <v>2197</v>
      </c>
      <c r="Z433" s="45" t="s">
        <v>136</v>
      </c>
      <c r="AA433" s="45" t="s">
        <v>552</v>
      </c>
      <c r="AB433" s="44" t="s">
        <v>1341</v>
      </c>
      <c r="AD433" s="46" t="s">
        <v>1246</v>
      </c>
      <c r="AE433" s="47" t="s">
        <v>802</v>
      </c>
    </row>
    <row r="434" spans="11:31" ht="17.25" customHeight="1" x14ac:dyDescent="0.25">
      <c r="K434" s="40" t="s">
        <v>790</v>
      </c>
      <c r="L434" s="41" t="s">
        <v>2772</v>
      </c>
      <c r="M434" s="41" t="s">
        <v>806</v>
      </c>
      <c r="N434" s="41" t="s">
        <v>3139</v>
      </c>
      <c r="O434" s="41" t="s">
        <v>2369</v>
      </c>
      <c r="P434" s="41" t="s">
        <v>3152</v>
      </c>
      <c r="Q434" s="42" t="s">
        <v>1342</v>
      </c>
      <c r="V434" s="43">
        <v>2445</v>
      </c>
      <c r="W434" s="45" t="s">
        <v>2198</v>
      </c>
      <c r="X434" s="45" t="s">
        <v>1093</v>
      </c>
      <c r="Y434" s="45" t="s">
        <v>2199</v>
      </c>
      <c r="Z434" s="45" t="s">
        <v>181</v>
      </c>
      <c r="AA434" s="45" t="s">
        <v>544</v>
      </c>
      <c r="AB434" s="44" t="s">
        <v>1341</v>
      </c>
      <c r="AD434" s="46" t="s">
        <v>1247</v>
      </c>
      <c r="AE434" s="47" t="s">
        <v>802</v>
      </c>
    </row>
    <row r="435" spans="11:31" ht="17.25" customHeight="1" x14ac:dyDescent="0.25">
      <c r="K435" s="40" t="s">
        <v>790</v>
      </c>
      <c r="L435" s="41" t="s">
        <v>2772</v>
      </c>
      <c r="M435" s="41" t="s">
        <v>806</v>
      </c>
      <c r="N435" s="41" t="s">
        <v>3139</v>
      </c>
      <c r="O435" s="41" t="s">
        <v>2369</v>
      </c>
      <c r="P435" s="41" t="s">
        <v>3152</v>
      </c>
      <c r="Q435" s="42" t="s">
        <v>1342</v>
      </c>
      <c r="V435" s="43">
        <v>2363</v>
      </c>
      <c r="W435" s="45" t="s">
        <v>2200</v>
      </c>
      <c r="X435" s="45" t="s">
        <v>1094</v>
      </c>
      <c r="Y435" s="45" t="s">
        <v>2201</v>
      </c>
      <c r="Z435" s="45" t="s">
        <v>179</v>
      </c>
      <c r="AA435" s="45" t="s">
        <v>558</v>
      </c>
      <c r="AB435" s="44" t="s">
        <v>1341</v>
      </c>
      <c r="AD435" s="46" t="s">
        <v>1248</v>
      </c>
      <c r="AE435" s="47" t="s">
        <v>802</v>
      </c>
    </row>
    <row r="436" spans="11:31" ht="17.25" customHeight="1" x14ac:dyDescent="0.25">
      <c r="K436" s="40" t="s">
        <v>309</v>
      </c>
      <c r="L436" s="41" t="s">
        <v>2773</v>
      </c>
      <c r="M436" s="41" t="s">
        <v>537</v>
      </c>
      <c r="N436" s="41" t="s">
        <v>3139</v>
      </c>
      <c r="O436" s="41" t="s">
        <v>2369</v>
      </c>
      <c r="P436" s="41" t="s">
        <v>3152</v>
      </c>
      <c r="Q436" s="42" t="s">
        <v>1342</v>
      </c>
      <c r="V436" s="43">
        <v>2433</v>
      </c>
      <c r="W436" s="45" t="s">
        <v>2202</v>
      </c>
      <c r="X436" s="45" t="s">
        <v>873</v>
      </c>
      <c r="Y436" s="45" t="s">
        <v>2203</v>
      </c>
      <c r="Z436" s="45" t="s">
        <v>176</v>
      </c>
      <c r="AA436" s="45" t="s">
        <v>500</v>
      </c>
      <c r="AB436" s="44" t="s">
        <v>500</v>
      </c>
      <c r="AD436" s="46" t="s">
        <v>1249</v>
      </c>
      <c r="AE436" s="47" t="s">
        <v>802</v>
      </c>
    </row>
    <row r="437" spans="11:31" ht="17.25" customHeight="1" x14ac:dyDescent="0.25">
      <c r="K437" s="40" t="s">
        <v>314</v>
      </c>
      <c r="L437" s="41" t="s">
        <v>2774</v>
      </c>
      <c r="M437" s="41" t="s">
        <v>539</v>
      </c>
      <c r="N437" s="41" t="s">
        <v>3139</v>
      </c>
      <c r="O437" s="41" t="s">
        <v>2369</v>
      </c>
      <c r="P437" s="41" t="s">
        <v>3152</v>
      </c>
      <c r="Q437" s="42" t="s">
        <v>1342</v>
      </c>
      <c r="V437" s="43">
        <v>2385</v>
      </c>
      <c r="W437" s="45" t="s">
        <v>2204</v>
      </c>
      <c r="X437" s="45" t="s">
        <v>1264</v>
      </c>
      <c r="Y437" s="45" t="s">
        <v>2205</v>
      </c>
      <c r="Z437" s="45" t="s">
        <v>278</v>
      </c>
      <c r="AA437" s="45" t="s">
        <v>512</v>
      </c>
      <c r="AB437" s="44" t="s">
        <v>1343</v>
      </c>
      <c r="AD437" s="46" t="s">
        <v>1250</v>
      </c>
      <c r="AE437" s="47" t="s">
        <v>802</v>
      </c>
    </row>
    <row r="438" spans="11:31" ht="17.25" customHeight="1" x14ac:dyDescent="0.25">
      <c r="K438" s="40" t="s">
        <v>783</v>
      </c>
      <c r="L438" s="41" t="s">
        <v>2775</v>
      </c>
      <c r="M438" s="41" t="s">
        <v>806</v>
      </c>
      <c r="N438" s="41" t="s">
        <v>3139</v>
      </c>
      <c r="O438" s="41" t="s">
        <v>2369</v>
      </c>
      <c r="P438" s="41" t="s">
        <v>3152</v>
      </c>
      <c r="Q438" s="42" t="s">
        <v>1342</v>
      </c>
      <c r="V438" s="43">
        <v>1960</v>
      </c>
      <c r="W438" s="45" t="s">
        <v>2206</v>
      </c>
      <c r="X438" s="45" t="s">
        <v>1096</v>
      </c>
      <c r="Y438" s="45" t="s">
        <v>2207</v>
      </c>
      <c r="Z438" s="45" t="s">
        <v>2357</v>
      </c>
      <c r="AA438" s="45" t="s">
        <v>545</v>
      </c>
      <c r="AB438" s="44" t="s">
        <v>1341</v>
      </c>
      <c r="AD438" s="46" t="s">
        <v>1251</v>
      </c>
      <c r="AE438" s="47" t="s">
        <v>802</v>
      </c>
    </row>
    <row r="439" spans="11:31" ht="17.25" customHeight="1" x14ac:dyDescent="0.25">
      <c r="K439" s="40" t="s">
        <v>783</v>
      </c>
      <c r="L439" s="41" t="s">
        <v>2775</v>
      </c>
      <c r="M439" s="41" t="s">
        <v>806</v>
      </c>
      <c r="N439" s="41" t="s">
        <v>3139</v>
      </c>
      <c r="O439" s="41" t="s">
        <v>2369</v>
      </c>
      <c r="P439" s="41" t="s">
        <v>3152</v>
      </c>
      <c r="Q439" s="42" t="s">
        <v>1342</v>
      </c>
      <c r="V439" s="43">
        <v>1516</v>
      </c>
      <c r="W439" s="45" t="s">
        <v>2208</v>
      </c>
      <c r="X439" s="45" t="s">
        <v>1266</v>
      </c>
      <c r="Y439" s="45" t="s">
        <v>2209</v>
      </c>
      <c r="Z439" s="45" t="s">
        <v>2358</v>
      </c>
      <c r="AA439" s="45" t="s">
        <v>530</v>
      </c>
      <c r="AB439" s="44" t="s">
        <v>1343</v>
      </c>
      <c r="AD439" s="46" t="s">
        <v>1252</v>
      </c>
      <c r="AE439" s="47" t="s">
        <v>802</v>
      </c>
    </row>
    <row r="440" spans="11:31" ht="17.25" customHeight="1" x14ac:dyDescent="0.25">
      <c r="K440" s="40" t="s">
        <v>320</v>
      </c>
      <c r="L440" s="41" t="s">
        <v>2776</v>
      </c>
      <c r="M440" s="41" t="s">
        <v>538</v>
      </c>
      <c r="N440" s="41" t="s">
        <v>3139</v>
      </c>
      <c r="O440" s="41" t="s">
        <v>2369</v>
      </c>
      <c r="P440" s="41" t="s">
        <v>3152</v>
      </c>
      <c r="Q440" s="42" t="s">
        <v>1342</v>
      </c>
      <c r="V440" s="43">
        <v>1417</v>
      </c>
      <c r="W440" s="45" t="s">
        <v>2210</v>
      </c>
      <c r="X440" s="45" t="s">
        <v>1131</v>
      </c>
      <c r="Y440" s="45" t="s">
        <v>2211</v>
      </c>
      <c r="Z440" s="45" t="s">
        <v>755</v>
      </c>
      <c r="AA440" s="45" t="s">
        <v>538</v>
      </c>
      <c r="AB440" s="44" t="s">
        <v>1342</v>
      </c>
      <c r="AD440" s="46" t="s">
        <v>1253</v>
      </c>
      <c r="AE440" s="47" t="s">
        <v>802</v>
      </c>
    </row>
    <row r="441" spans="11:31" ht="17.25" customHeight="1" x14ac:dyDescent="0.25">
      <c r="K441" s="40" t="s">
        <v>316</v>
      </c>
      <c r="L441" s="41" t="s">
        <v>2777</v>
      </c>
      <c r="M441" s="41" t="s">
        <v>538</v>
      </c>
      <c r="N441" s="41" t="s">
        <v>3139</v>
      </c>
      <c r="O441" s="41" t="s">
        <v>2369</v>
      </c>
      <c r="P441" s="41" t="s">
        <v>3152</v>
      </c>
      <c r="Q441" s="42" t="s">
        <v>1342</v>
      </c>
      <c r="V441" s="43">
        <v>2408</v>
      </c>
      <c r="W441" s="45" t="s">
        <v>2212</v>
      </c>
      <c r="X441" s="45" t="s">
        <v>1267</v>
      </c>
      <c r="Y441" s="45" t="s">
        <v>2213</v>
      </c>
      <c r="Z441" s="45" t="s">
        <v>279</v>
      </c>
      <c r="AA441" s="45" t="s">
        <v>517</v>
      </c>
      <c r="AB441" s="44" t="s">
        <v>1343</v>
      </c>
      <c r="AD441" s="46" t="s">
        <v>1254</v>
      </c>
      <c r="AE441" s="47" t="s">
        <v>802</v>
      </c>
    </row>
    <row r="442" spans="11:31" ht="17.25" customHeight="1" x14ac:dyDescent="0.25">
      <c r="K442" s="40" t="s">
        <v>310</v>
      </c>
      <c r="L442" s="41" t="s">
        <v>2778</v>
      </c>
      <c r="M442" s="41" t="s">
        <v>539</v>
      </c>
      <c r="N442" s="41" t="s">
        <v>3139</v>
      </c>
      <c r="O442" s="41" t="s">
        <v>2369</v>
      </c>
      <c r="P442" s="41" t="s">
        <v>3152</v>
      </c>
      <c r="Q442" s="42" t="s">
        <v>1342</v>
      </c>
      <c r="V442" s="43">
        <v>1279</v>
      </c>
      <c r="W442" s="45" t="s">
        <v>2214</v>
      </c>
      <c r="X442" s="45" t="s">
        <v>874</v>
      </c>
      <c r="Y442" s="45" t="s">
        <v>2215</v>
      </c>
      <c r="Z442" s="45" t="s">
        <v>196</v>
      </c>
      <c r="AA442" s="45" t="s">
        <v>500</v>
      </c>
      <c r="AB442" s="44" t="s">
        <v>500</v>
      </c>
      <c r="AD442" s="46" t="s">
        <v>1255</v>
      </c>
      <c r="AE442" s="47" t="s">
        <v>802</v>
      </c>
    </row>
    <row r="443" spans="11:31" ht="17.25" customHeight="1" x14ac:dyDescent="0.25">
      <c r="K443" s="40" t="s">
        <v>311</v>
      </c>
      <c r="L443" s="41" t="s">
        <v>2779</v>
      </c>
      <c r="M443" s="41" t="s">
        <v>538</v>
      </c>
      <c r="N443" s="41" t="s">
        <v>3139</v>
      </c>
      <c r="O443" s="41" t="s">
        <v>2369</v>
      </c>
      <c r="P443" s="41" t="s">
        <v>3152</v>
      </c>
      <c r="Q443" s="42" t="s">
        <v>1342</v>
      </c>
      <c r="V443" s="43">
        <v>2392</v>
      </c>
      <c r="W443" s="45" t="s">
        <v>2216</v>
      </c>
      <c r="X443" s="45" t="s">
        <v>1268</v>
      </c>
      <c r="Y443" s="45" t="s">
        <v>2217</v>
      </c>
      <c r="Z443" s="45" t="s">
        <v>298</v>
      </c>
      <c r="AA443" s="45" t="s">
        <v>526</v>
      </c>
      <c r="AB443" s="44" t="s">
        <v>1343</v>
      </c>
      <c r="AD443" s="46" t="s">
        <v>1256</v>
      </c>
      <c r="AE443" s="47" t="s">
        <v>802</v>
      </c>
    </row>
    <row r="444" spans="11:31" ht="17.25" customHeight="1" x14ac:dyDescent="0.25">
      <c r="K444" s="40" t="s">
        <v>750</v>
      </c>
      <c r="L444" s="41" t="s">
        <v>2780</v>
      </c>
      <c r="M444" s="41" t="s">
        <v>536</v>
      </c>
      <c r="N444" s="41" t="s">
        <v>3139</v>
      </c>
      <c r="O444" s="41" t="s">
        <v>2369</v>
      </c>
      <c r="P444" s="41" t="s">
        <v>3152</v>
      </c>
      <c r="Q444" s="42" t="s">
        <v>1342</v>
      </c>
      <c r="V444" s="43">
        <v>1283</v>
      </c>
      <c r="W444" s="45" t="s">
        <v>2218</v>
      </c>
      <c r="X444" s="45" t="s">
        <v>875</v>
      </c>
      <c r="Y444" s="45" t="s">
        <v>2219</v>
      </c>
      <c r="Z444" s="45" t="s">
        <v>146</v>
      </c>
      <c r="AA444" s="45" t="s">
        <v>500</v>
      </c>
      <c r="AB444" s="44" t="s">
        <v>500</v>
      </c>
      <c r="AD444" s="46" t="s">
        <v>1257</v>
      </c>
      <c r="AE444" s="47" t="s">
        <v>802</v>
      </c>
    </row>
    <row r="445" spans="11:31" ht="17.25" customHeight="1" x14ac:dyDescent="0.25">
      <c r="K445" s="40" t="s">
        <v>408</v>
      </c>
      <c r="L445" s="41" t="s">
        <v>2781</v>
      </c>
      <c r="M445" s="41" t="s">
        <v>536</v>
      </c>
      <c r="N445" s="41" t="s">
        <v>3139</v>
      </c>
      <c r="O445" s="41" t="s">
        <v>2369</v>
      </c>
      <c r="P445" s="41" t="s">
        <v>3152</v>
      </c>
      <c r="Q445" s="42" t="s">
        <v>1342</v>
      </c>
      <c r="V445" s="43">
        <v>2285</v>
      </c>
      <c r="W445" s="45" t="s">
        <v>2220</v>
      </c>
      <c r="X445" s="45" t="s">
        <v>1269</v>
      </c>
      <c r="Y445" s="45" t="s">
        <v>2221</v>
      </c>
      <c r="Z445" s="45" t="s">
        <v>284</v>
      </c>
      <c r="AA445" s="45" t="s">
        <v>532</v>
      </c>
      <c r="AB445" s="44" t="s">
        <v>1343</v>
      </c>
      <c r="AD445" s="46" t="s">
        <v>1258</v>
      </c>
      <c r="AE445" s="47" t="s">
        <v>802</v>
      </c>
    </row>
    <row r="446" spans="11:31" ht="17.25" customHeight="1" x14ac:dyDescent="0.25">
      <c r="K446" s="40" t="s">
        <v>613</v>
      </c>
      <c r="L446" s="41" t="s">
        <v>2782</v>
      </c>
      <c r="M446" s="41" t="s">
        <v>539</v>
      </c>
      <c r="N446" s="41" t="s">
        <v>3139</v>
      </c>
      <c r="O446" s="41" t="s">
        <v>2369</v>
      </c>
      <c r="P446" s="41" t="s">
        <v>3152</v>
      </c>
      <c r="Q446" s="42" t="s">
        <v>1342</v>
      </c>
      <c r="V446" s="43">
        <v>2432</v>
      </c>
      <c r="W446" s="45" t="s">
        <v>2222</v>
      </c>
      <c r="X446" s="45" t="s">
        <v>1097</v>
      </c>
      <c r="Y446" s="45" t="s">
        <v>2223</v>
      </c>
      <c r="Z446" s="45" t="s">
        <v>473</v>
      </c>
      <c r="AA446" s="45" t="s">
        <v>548</v>
      </c>
      <c r="AB446" s="44" t="s">
        <v>1341</v>
      </c>
      <c r="AD446" s="46" t="s">
        <v>1259</v>
      </c>
      <c r="AE446" s="47" t="s">
        <v>802</v>
      </c>
    </row>
    <row r="447" spans="11:31" ht="17.25" customHeight="1" x14ac:dyDescent="0.25">
      <c r="K447" s="40" t="s">
        <v>717</v>
      </c>
      <c r="L447" s="41" t="s">
        <v>2783</v>
      </c>
      <c r="M447" s="41" t="s">
        <v>538</v>
      </c>
      <c r="N447" s="41" t="s">
        <v>3139</v>
      </c>
      <c r="O447" s="41" t="s">
        <v>2369</v>
      </c>
      <c r="P447" s="41" t="s">
        <v>3152</v>
      </c>
      <c r="Q447" s="42" t="s">
        <v>1342</v>
      </c>
      <c r="V447" s="43">
        <v>1398</v>
      </c>
      <c r="W447" s="45" t="s">
        <v>2224</v>
      </c>
      <c r="X447" s="45" t="s">
        <v>1098</v>
      </c>
      <c r="Y447" s="45" t="s">
        <v>2225</v>
      </c>
      <c r="Z447" s="45" t="s">
        <v>182</v>
      </c>
      <c r="AA447" s="45" t="s">
        <v>552</v>
      </c>
      <c r="AB447" s="44" t="s">
        <v>1341</v>
      </c>
      <c r="AD447" s="46" t="s">
        <v>1260</v>
      </c>
      <c r="AE447" s="47" t="s">
        <v>802</v>
      </c>
    </row>
    <row r="448" spans="11:31" ht="17.25" customHeight="1" x14ac:dyDescent="0.25">
      <c r="K448" s="40" t="s">
        <v>598</v>
      </c>
      <c r="L448" s="41" t="s">
        <v>2784</v>
      </c>
      <c r="M448" s="41" t="s">
        <v>538</v>
      </c>
      <c r="N448" s="41" t="s">
        <v>3139</v>
      </c>
      <c r="O448" s="41" t="s">
        <v>2369</v>
      </c>
      <c r="P448" s="41" t="s">
        <v>3152</v>
      </c>
      <c r="Q448" s="42" t="s">
        <v>1342</v>
      </c>
      <c r="V448" s="43">
        <v>2307</v>
      </c>
      <c r="W448" s="45" t="s">
        <v>2226</v>
      </c>
      <c r="X448" s="45" t="s">
        <v>1100</v>
      </c>
      <c r="Y448" s="45" t="s">
        <v>2227</v>
      </c>
      <c r="Z448" s="45" t="s">
        <v>386</v>
      </c>
      <c r="AA448" s="45" t="s">
        <v>558</v>
      </c>
      <c r="AB448" s="44" t="s">
        <v>1341</v>
      </c>
      <c r="AD448" s="46" t="s">
        <v>1261</v>
      </c>
      <c r="AE448" s="47" t="s">
        <v>802</v>
      </c>
    </row>
    <row r="449" spans="11:31" ht="17.25" customHeight="1" x14ac:dyDescent="0.25">
      <c r="K449" s="40" t="s">
        <v>597</v>
      </c>
      <c r="L449" s="41" t="s">
        <v>2785</v>
      </c>
      <c r="M449" s="41" t="s">
        <v>538</v>
      </c>
      <c r="N449" s="41" t="s">
        <v>3139</v>
      </c>
      <c r="O449" s="41" t="s">
        <v>2369</v>
      </c>
      <c r="P449" s="41" t="s">
        <v>3152</v>
      </c>
      <c r="Q449" s="42" t="s">
        <v>1342</v>
      </c>
      <c r="V449" s="43">
        <v>2395</v>
      </c>
      <c r="W449" s="45" t="s">
        <v>2228</v>
      </c>
      <c r="X449" s="45" t="s">
        <v>1270</v>
      </c>
      <c r="Y449" s="45" t="s">
        <v>2229</v>
      </c>
      <c r="Z449" s="45" t="s">
        <v>288</v>
      </c>
      <c r="AA449" s="45" t="s">
        <v>528</v>
      </c>
      <c r="AB449" s="44" t="s">
        <v>1343</v>
      </c>
      <c r="AD449" s="46" t="s">
        <v>1262</v>
      </c>
      <c r="AE449" s="47" t="s">
        <v>802</v>
      </c>
    </row>
    <row r="450" spans="11:31" ht="17.25" customHeight="1" x14ac:dyDescent="0.25">
      <c r="K450" s="40" t="s">
        <v>646</v>
      </c>
      <c r="L450" s="41" t="s">
        <v>2786</v>
      </c>
      <c r="M450" s="41" t="s">
        <v>538</v>
      </c>
      <c r="N450" s="41" t="s">
        <v>3139</v>
      </c>
      <c r="O450" s="41" t="s">
        <v>2369</v>
      </c>
      <c r="P450" s="41" t="s">
        <v>3152</v>
      </c>
      <c r="Q450" s="42" t="s">
        <v>1342</v>
      </c>
      <c r="V450" s="43">
        <v>1377</v>
      </c>
      <c r="W450" s="45" t="s">
        <v>2230</v>
      </c>
      <c r="X450" s="45" t="s">
        <v>1271</v>
      </c>
      <c r="Y450" s="45" t="s">
        <v>2231</v>
      </c>
      <c r="Z450" s="45" t="s">
        <v>266</v>
      </c>
      <c r="AA450" s="45" t="s">
        <v>509</v>
      </c>
      <c r="AB450" s="44" t="s">
        <v>1343</v>
      </c>
      <c r="AD450" s="46" t="s">
        <v>1263</v>
      </c>
      <c r="AE450" s="47" t="s">
        <v>802</v>
      </c>
    </row>
    <row r="451" spans="11:31" ht="17.25" customHeight="1" x14ac:dyDescent="0.25">
      <c r="K451" s="40" t="s">
        <v>720</v>
      </c>
      <c r="L451" s="41" t="s">
        <v>2787</v>
      </c>
      <c r="M451" s="41" t="s">
        <v>539</v>
      </c>
      <c r="N451" s="41" t="s">
        <v>3139</v>
      </c>
      <c r="O451" s="41" t="s">
        <v>2369</v>
      </c>
      <c r="P451" s="41" t="s">
        <v>3152</v>
      </c>
      <c r="Q451" s="42" t="s">
        <v>1342</v>
      </c>
      <c r="V451" s="43">
        <v>1287</v>
      </c>
      <c r="W451" s="45" t="s">
        <v>2232</v>
      </c>
      <c r="X451" s="45" t="s">
        <v>876</v>
      </c>
      <c r="Y451" s="45" t="s">
        <v>3242</v>
      </c>
      <c r="Z451" s="45" t="s">
        <v>195</v>
      </c>
      <c r="AA451" s="45" t="s">
        <v>500</v>
      </c>
      <c r="AB451" s="44" t="s">
        <v>500</v>
      </c>
      <c r="AD451" s="46" t="s">
        <v>1264</v>
      </c>
      <c r="AE451" s="47" t="s">
        <v>802</v>
      </c>
    </row>
    <row r="452" spans="11:31" ht="17.25" customHeight="1" x14ac:dyDescent="0.25">
      <c r="K452" s="40" t="s">
        <v>615</v>
      </c>
      <c r="L452" s="41" t="s">
        <v>2788</v>
      </c>
      <c r="M452" s="41" t="s">
        <v>539</v>
      </c>
      <c r="N452" s="41" t="s">
        <v>3139</v>
      </c>
      <c r="O452" s="41" t="s">
        <v>2369</v>
      </c>
      <c r="P452" s="41" t="s">
        <v>3152</v>
      </c>
      <c r="Q452" s="42" t="s">
        <v>1342</v>
      </c>
      <c r="V452" s="43">
        <v>1374</v>
      </c>
      <c r="W452" s="45" t="s">
        <v>2233</v>
      </c>
      <c r="X452" s="45" t="s">
        <v>1272</v>
      </c>
      <c r="Y452" s="45" t="s">
        <v>2234</v>
      </c>
      <c r="Z452" s="45" t="s">
        <v>201</v>
      </c>
      <c r="AA452" s="45" t="s">
        <v>508</v>
      </c>
      <c r="AB452" s="44" t="s">
        <v>1343</v>
      </c>
      <c r="AD452" s="46" t="s">
        <v>1265</v>
      </c>
      <c r="AE452" s="47" t="s">
        <v>802</v>
      </c>
    </row>
    <row r="453" spans="11:31" ht="17.25" customHeight="1" x14ac:dyDescent="0.25">
      <c r="K453" s="40" t="s">
        <v>748</v>
      </c>
      <c r="L453" s="41" t="s">
        <v>2789</v>
      </c>
      <c r="M453" s="41" t="s">
        <v>536</v>
      </c>
      <c r="N453" s="41" t="s">
        <v>3139</v>
      </c>
      <c r="O453" s="41" t="s">
        <v>2369</v>
      </c>
      <c r="P453" s="41" t="s">
        <v>3152</v>
      </c>
      <c r="Q453" s="42" t="s">
        <v>1342</v>
      </c>
      <c r="V453" s="43">
        <v>1891</v>
      </c>
      <c r="W453" s="45" t="s">
        <v>2235</v>
      </c>
      <c r="X453" s="45" t="s">
        <v>1273</v>
      </c>
      <c r="Y453" s="45" t="s">
        <v>2236</v>
      </c>
      <c r="Z453" s="45" t="s">
        <v>202</v>
      </c>
      <c r="AA453" s="45" t="s">
        <v>509</v>
      </c>
      <c r="AB453" s="44" t="s">
        <v>1343</v>
      </c>
      <c r="AD453" s="46" t="s">
        <v>1266</v>
      </c>
      <c r="AE453" s="47" t="s">
        <v>802</v>
      </c>
    </row>
    <row r="454" spans="11:31" ht="17.25" customHeight="1" x14ac:dyDescent="0.25">
      <c r="K454" s="40" t="s">
        <v>661</v>
      </c>
      <c r="L454" s="41" t="s">
        <v>2790</v>
      </c>
      <c r="M454" s="41" t="s">
        <v>539</v>
      </c>
      <c r="N454" s="41" t="s">
        <v>3139</v>
      </c>
      <c r="O454" s="41" t="s">
        <v>2369</v>
      </c>
      <c r="P454" s="41" t="s">
        <v>3152</v>
      </c>
      <c r="Q454" s="42" t="s">
        <v>1342</v>
      </c>
      <c r="V454" s="43">
        <v>1443</v>
      </c>
      <c r="W454" s="45" t="s">
        <v>2237</v>
      </c>
      <c r="X454" s="45" t="s">
        <v>1274</v>
      </c>
      <c r="Y454" s="45" t="s">
        <v>2238</v>
      </c>
      <c r="Z454" s="45" t="s">
        <v>285</v>
      </c>
      <c r="AA454" s="45" t="s">
        <v>508</v>
      </c>
      <c r="AB454" s="44" t="s">
        <v>1343</v>
      </c>
      <c r="AD454" s="46" t="s">
        <v>1267</v>
      </c>
      <c r="AE454" s="47" t="s">
        <v>802</v>
      </c>
    </row>
    <row r="455" spans="11:31" ht="17.25" customHeight="1" x14ac:dyDescent="0.25">
      <c r="K455" s="40" t="s">
        <v>584</v>
      </c>
      <c r="L455" s="41" t="s">
        <v>2791</v>
      </c>
      <c r="M455" s="41" t="s">
        <v>539</v>
      </c>
      <c r="N455" s="41" t="s">
        <v>3139</v>
      </c>
      <c r="O455" s="41" t="s">
        <v>2369</v>
      </c>
      <c r="P455" s="41" t="s">
        <v>3152</v>
      </c>
      <c r="Q455" s="42" t="s">
        <v>1342</v>
      </c>
      <c r="V455" s="43">
        <v>1442</v>
      </c>
      <c r="W455" s="45" t="s">
        <v>2239</v>
      </c>
      <c r="X455" s="45" t="s">
        <v>1265</v>
      </c>
      <c r="Y455" s="45" t="s">
        <v>2240</v>
      </c>
      <c r="Z455" s="45" t="s">
        <v>431</v>
      </c>
      <c r="AA455" s="45" t="s">
        <v>527</v>
      </c>
      <c r="AB455" s="44" t="s">
        <v>1343</v>
      </c>
      <c r="AD455" s="46" t="s">
        <v>1268</v>
      </c>
      <c r="AE455" s="47" t="s">
        <v>802</v>
      </c>
    </row>
    <row r="456" spans="11:31" ht="17.25" customHeight="1" x14ac:dyDescent="0.25">
      <c r="K456" s="40" t="s">
        <v>780</v>
      </c>
      <c r="L456" s="41" t="s">
        <v>2792</v>
      </c>
      <c r="M456" s="41" t="s">
        <v>806</v>
      </c>
      <c r="N456" s="41" t="s">
        <v>3139</v>
      </c>
      <c r="O456" s="41" t="s">
        <v>2369</v>
      </c>
      <c r="P456" s="41" t="s">
        <v>3152</v>
      </c>
      <c r="Q456" s="42" t="s">
        <v>1342</v>
      </c>
      <c r="V456" s="43">
        <v>1317</v>
      </c>
      <c r="W456" s="45" t="s">
        <v>2241</v>
      </c>
      <c r="X456" s="45" t="s">
        <v>1275</v>
      </c>
      <c r="Y456" s="45" t="s">
        <v>2242</v>
      </c>
      <c r="Z456" s="45" t="s">
        <v>281</v>
      </c>
      <c r="AA456" s="45" t="s">
        <v>532</v>
      </c>
      <c r="AB456" s="44" t="s">
        <v>1343</v>
      </c>
      <c r="AD456" s="46" t="s">
        <v>1269</v>
      </c>
      <c r="AE456" s="47" t="s">
        <v>802</v>
      </c>
    </row>
    <row r="457" spans="11:31" ht="17.25" customHeight="1" x14ac:dyDescent="0.25">
      <c r="K457" s="40" t="s">
        <v>780</v>
      </c>
      <c r="L457" s="41" t="s">
        <v>2792</v>
      </c>
      <c r="M457" s="41" t="s">
        <v>806</v>
      </c>
      <c r="N457" s="41" t="s">
        <v>3139</v>
      </c>
      <c r="O457" s="41" t="s">
        <v>2369</v>
      </c>
      <c r="P457" s="41" t="s">
        <v>3152</v>
      </c>
      <c r="Q457" s="42" t="s">
        <v>1342</v>
      </c>
      <c r="V457" s="43">
        <v>1168</v>
      </c>
      <c r="W457" s="45" t="s">
        <v>2243</v>
      </c>
      <c r="X457" s="45" t="s">
        <v>1197</v>
      </c>
      <c r="Y457" s="45" t="s">
        <v>2244</v>
      </c>
      <c r="Z457" s="45" t="s">
        <v>96</v>
      </c>
      <c r="AA457" s="45" t="s">
        <v>509</v>
      </c>
      <c r="AB457" s="44" t="s">
        <v>1343</v>
      </c>
      <c r="AD457" s="46" t="s">
        <v>1270</v>
      </c>
      <c r="AE457" s="47" t="s">
        <v>802</v>
      </c>
    </row>
    <row r="458" spans="11:31" ht="17.25" customHeight="1" x14ac:dyDescent="0.25">
      <c r="K458" s="40" t="s">
        <v>718</v>
      </c>
      <c r="L458" s="41" t="s">
        <v>2793</v>
      </c>
      <c r="M458" s="41" t="s">
        <v>538</v>
      </c>
      <c r="N458" s="41" t="s">
        <v>3139</v>
      </c>
      <c r="O458" s="41" t="s">
        <v>2369</v>
      </c>
      <c r="P458" s="41" t="s">
        <v>3152</v>
      </c>
      <c r="Q458" s="42" t="s">
        <v>1342</v>
      </c>
      <c r="V458" s="43">
        <v>1167</v>
      </c>
      <c r="W458" s="45" t="s">
        <v>2245</v>
      </c>
      <c r="X458" s="45" t="s">
        <v>1206</v>
      </c>
      <c r="Y458" s="45" t="s">
        <v>2246</v>
      </c>
      <c r="Z458" s="45" t="s">
        <v>94</v>
      </c>
      <c r="AA458" s="45" t="s">
        <v>514</v>
      </c>
      <c r="AB458" s="44" t="s">
        <v>1343</v>
      </c>
      <c r="AD458" s="46" t="s">
        <v>1271</v>
      </c>
      <c r="AE458" s="47" t="s">
        <v>802</v>
      </c>
    </row>
    <row r="459" spans="11:31" ht="17.25" customHeight="1" x14ac:dyDescent="0.25">
      <c r="K459" s="40" t="s">
        <v>630</v>
      </c>
      <c r="L459" s="41" t="s">
        <v>2794</v>
      </c>
      <c r="M459" s="41" t="s">
        <v>538</v>
      </c>
      <c r="N459" s="41" t="s">
        <v>3139</v>
      </c>
      <c r="O459" s="41" t="s">
        <v>2369</v>
      </c>
      <c r="P459" s="41" t="s">
        <v>3152</v>
      </c>
      <c r="Q459" s="42" t="s">
        <v>1342</v>
      </c>
      <c r="V459" s="43">
        <v>1184</v>
      </c>
      <c r="W459" s="45" t="s">
        <v>2247</v>
      </c>
      <c r="X459" s="45" t="s">
        <v>2248</v>
      </c>
      <c r="Y459" s="45" t="s">
        <v>2249</v>
      </c>
      <c r="Z459" s="45" t="s">
        <v>2352</v>
      </c>
      <c r="AA459" s="45" t="s">
        <v>556</v>
      </c>
      <c r="AB459" s="44" t="s">
        <v>1341</v>
      </c>
      <c r="AD459" s="46" t="s">
        <v>1272</v>
      </c>
      <c r="AE459" s="47" t="s">
        <v>802</v>
      </c>
    </row>
    <row r="460" spans="11:31" ht="17.25" customHeight="1" x14ac:dyDescent="0.25">
      <c r="K460" s="40" t="s">
        <v>686</v>
      </c>
      <c r="L460" s="41" t="s">
        <v>2795</v>
      </c>
      <c r="M460" s="41" t="s">
        <v>538</v>
      </c>
      <c r="N460" s="41" t="s">
        <v>3139</v>
      </c>
      <c r="O460" s="41" t="s">
        <v>2369</v>
      </c>
      <c r="P460" s="41" t="s">
        <v>3152</v>
      </c>
      <c r="Q460" s="42" t="s">
        <v>1342</v>
      </c>
      <c r="V460" s="43">
        <v>1204</v>
      </c>
      <c r="W460" s="45" t="s">
        <v>2250</v>
      </c>
      <c r="X460" s="45" t="s">
        <v>1234</v>
      </c>
      <c r="Y460" s="45" t="s">
        <v>2251</v>
      </c>
      <c r="Z460" s="45" t="s">
        <v>2355</v>
      </c>
      <c r="AA460" s="45" t="s">
        <v>522</v>
      </c>
      <c r="AB460" s="44" t="s">
        <v>1343</v>
      </c>
      <c r="AD460" s="46" t="s">
        <v>1273</v>
      </c>
      <c r="AE460" s="47" t="s">
        <v>802</v>
      </c>
    </row>
    <row r="461" spans="11:31" ht="17.25" customHeight="1" x14ac:dyDescent="0.25">
      <c r="K461" s="40" t="s">
        <v>679</v>
      </c>
      <c r="L461" s="41" t="s">
        <v>2796</v>
      </c>
      <c r="M461" s="41" t="s">
        <v>537</v>
      </c>
      <c r="N461" s="41" t="s">
        <v>3139</v>
      </c>
      <c r="O461" s="41" t="s">
        <v>2369</v>
      </c>
      <c r="P461" s="41" t="s">
        <v>3152</v>
      </c>
      <c r="Q461" s="42" t="s">
        <v>1342</v>
      </c>
      <c r="V461" s="43">
        <v>2316</v>
      </c>
      <c r="W461" s="45" t="s">
        <v>2252</v>
      </c>
      <c r="X461" s="45" t="s">
        <v>1101</v>
      </c>
      <c r="Y461" s="45" t="s">
        <v>2253</v>
      </c>
      <c r="Z461" s="45" t="s">
        <v>398</v>
      </c>
      <c r="AA461" s="45" t="s">
        <v>548</v>
      </c>
      <c r="AB461" s="44" t="s">
        <v>1341</v>
      </c>
      <c r="AD461" s="46" t="s">
        <v>1274</v>
      </c>
      <c r="AE461" s="47" t="s">
        <v>802</v>
      </c>
    </row>
    <row r="462" spans="11:31" ht="17.25" customHeight="1" x14ac:dyDescent="0.25">
      <c r="K462" s="40" t="s">
        <v>719</v>
      </c>
      <c r="L462" s="41" t="s">
        <v>2797</v>
      </c>
      <c r="M462" s="41" t="s">
        <v>539</v>
      </c>
      <c r="N462" s="41" t="s">
        <v>3139</v>
      </c>
      <c r="O462" s="41" t="s">
        <v>2369</v>
      </c>
      <c r="P462" s="41" t="s">
        <v>3152</v>
      </c>
      <c r="Q462" s="42" t="s">
        <v>1342</v>
      </c>
      <c r="V462" s="43">
        <v>2397</v>
      </c>
      <c r="W462" s="45" t="s">
        <v>2254</v>
      </c>
      <c r="X462" s="45" t="s">
        <v>1276</v>
      </c>
      <c r="Y462" s="45" t="s">
        <v>2255</v>
      </c>
      <c r="Z462" s="45" t="s">
        <v>2359</v>
      </c>
      <c r="AA462" s="45" t="s">
        <v>521</v>
      </c>
      <c r="AB462" s="44" t="s">
        <v>1343</v>
      </c>
      <c r="AD462" s="46" t="s">
        <v>1275</v>
      </c>
      <c r="AE462" s="47" t="s">
        <v>802</v>
      </c>
    </row>
    <row r="463" spans="11:31" ht="17.25" customHeight="1" x14ac:dyDescent="0.25">
      <c r="K463" s="40" t="s">
        <v>747</v>
      </c>
      <c r="L463" s="41" t="s">
        <v>2798</v>
      </c>
      <c r="M463" s="41" t="s">
        <v>538</v>
      </c>
      <c r="N463" s="41" t="s">
        <v>3139</v>
      </c>
      <c r="O463" s="41" t="s">
        <v>2369</v>
      </c>
      <c r="P463" s="41" t="s">
        <v>3152</v>
      </c>
      <c r="Q463" s="42" t="s">
        <v>1342</v>
      </c>
      <c r="V463" s="43">
        <v>1261</v>
      </c>
      <c r="W463" s="45" t="s">
        <v>2256</v>
      </c>
      <c r="X463" s="45" t="s">
        <v>877</v>
      </c>
      <c r="Y463" s="45" t="s">
        <v>2257</v>
      </c>
      <c r="Z463" s="45" t="s">
        <v>152</v>
      </c>
      <c r="AA463" s="45" t="s">
        <v>500</v>
      </c>
      <c r="AB463" s="44" t="s">
        <v>500</v>
      </c>
      <c r="AD463" s="46" t="s">
        <v>1276</v>
      </c>
      <c r="AE463" s="47" t="s">
        <v>802</v>
      </c>
    </row>
    <row r="464" spans="11:31" ht="17.25" customHeight="1" x14ac:dyDescent="0.25">
      <c r="K464" s="40" t="s">
        <v>616</v>
      </c>
      <c r="L464" s="41" t="s">
        <v>2799</v>
      </c>
      <c r="M464" s="41" t="s">
        <v>538</v>
      </c>
      <c r="N464" s="41" t="s">
        <v>3139</v>
      </c>
      <c r="O464" s="41" t="s">
        <v>2369</v>
      </c>
      <c r="P464" s="41" t="s">
        <v>3152</v>
      </c>
      <c r="Q464" s="42" t="s">
        <v>1342</v>
      </c>
      <c r="V464" s="43">
        <v>2361</v>
      </c>
      <c r="W464" s="45" t="s">
        <v>2258</v>
      </c>
      <c r="X464" s="45" t="s">
        <v>1102</v>
      </c>
      <c r="Y464" s="45" t="s">
        <v>2259</v>
      </c>
      <c r="Z464" s="45" t="s">
        <v>394</v>
      </c>
      <c r="AA464" s="45" t="s">
        <v>540</v>
      </c>
      <c r="AB464" s="44" t="s">
        <v>1341</v>
      </c>
      <c r="AD464" s="46" t="s">
        <v>1277</v>
      </c>
      <c r="AE464" s="47" t="s">
        <v>802</v>
      </c>
    </row>
    <row r="465" spans="11:31" ht="17.25" customHeight="1" x14ac:dyDescent="0.25">
      <c r="K465" s="40" t="s">
        <v>100</v>
      </c>
      <c r="L465" s="41" t="s">
        <v>2800</v>
      </c>
      <c r="M465" s="41" t="s">
        <v>535</v>
      </c>
      <c r="N465" s="41" t="s">
        <v>3142</v>
      </c>
      <c r="O465" s="41" t="s">
        <v>2369</v>
      </c>
      <c r="P465" s="41" t="s">
        <v>3145</v>
      </c>
      <c r="Q465" s="42" t="s">
        <v>1343</v>
      </c>
      <c r="V465" s="43">
        <v>1450</v>
      </c>
      <c r="W465" s="45" t="s">
        <v>2260</v>
      </c>
      <c r="X465" s="45" t="s">
        <v>1277</v>
      </c>
      <c r="Y465" s="45" t="s">
        <v>2261</v>
      </c>
      <c r="Z465" s="45" t="s">
        <v>622</v>
      </c>
      <c r="AA465" s="45" t="s">
        <v>532</v>
      </c>
      <c r="AB465" s="44" t="s">
        <v>1343</v>
      </c>
      <c r="AD465" s="46" t="s">
        <v>1278</v>
      </c>
      <c r="AE465" s="47" t="s">
        <v>802</v>
      </c>
    </row>
    <row r="466" spans="11:31" ht="17.25" customHeight="1" x14ac:dyDescent="0.25">
      <c r="K466" s="40" t="s">
        <v>582</v>
      </c>
      <c r="L466" s="41" t="s">
        <v>2801</v>
      </c>
      <c r="M466" s="41" t="s">
        <v>535</v>
      </c>
      <c r="N466" s="41" t="s">
        <v>3141</v>
      </c>
      <c r="O466" s="41" t="s">
        <v>2369</v>
      </c>
      <c r="P466" s="41" t="s">
        <v>3145</v>
      </c>
      <c r="Q466" s="42" t="s">
        <v>1343</v>
      </c>
      <c r="V466" s="43">
        <v>1441</v>
      </c>
      <c r="W466" s="45" t="s">
        <v>2262</v>
      </c>
      <c r="X466" s="45" t="s">
        <v>1278</v>
      </c>
      <c r="Y466" s="45" t="s">
        <v>2263</v>
      </c>
      <c r="Z466" s="45" t="s">
        <v>637</v>
      </c>
      <c r="AA466" s="45" t="s">
        <v>523</v>
      </c>
      <c r="AB466" s="44" t="s">
        <v>1343</v>
      </c>
      <c r="AD466" s="46" t="s">
        <v>1279</v>
      </c>
      <c r="AE466" s="47" t="s">
        <v>802</v>
      </c>
    </row>
    <row r="467" spans="11:31" ht="17.25" customHeight="1" x14ac:dyDescent="0.25">
      <c r="K467" s="40" t="s">
        <v>728</v>
      </c>
      <c r="L467" s="41" t="s">
        <v>2802</v>
      </c>
      <c r="M467" s="41" t="s">
        <v>535</v>
      </c>
      <c r="N467" s="41" t="s">
        <v>3139</v>
      </c>
      <c r="O467" s="41" t="s">
        <v>2369</v>
      </c>
      <c r="P467" s="41" t="s">
        <v>3145</v>
      </c>
      <c r="Q467" s="42" t="s">
        <v>1343</v>
      </c>
      <c r="V467" s="43">
        <v>2401</v>
      </c>
      <c r="W467" s="45" t="s">
        <v>2264</v>
      </c>
      <c r="X467" s="45" t="s">
        <v>1279</v>
      </c>
      <c r="Y467" s="45" t="s">
        <v>2265</v>
      </c>
      <c r="Z467" s="45" t="s">
        <v>567</v>
      </c>
      <c r="AA467" s="45" t="s">
        <v>518</v>
      </c>
      <c r="AB467" s="44" t="s">
        <v>1343</v>
      </c>
      <c r="AD467" s="46" t="s">
        <v>1280</v>
      </c>
      <c r="AE467" s="47" t="s">
        <v>802</v>
      </c>
    </row>
    <row r="468" spans="11:31" ht="17.25" customHeight="1" x14ac:dyDescent="0.25">
      <c r="K468" s="40" t="s">
        <v>585</v>
      </c>
      <c r="L468" s="41" t="s">
        <v>2803</v>
      </c>
      <c r="M468" s="41" t="s">
        <v>535</v>
      </c>
      <c r="N468" s="41" t="s">
        <v>3139</v>
      </c>
      <c r="O468" s="41" t="s">
        <v>2369</v>
      </c>
      <c r="P468" s="41" t="s">
        <v>3145</v>
      </c>
      <c r="Q468" s="42" t="s">
        <v>1343</v>
      </c>
      <c r="V468" s="43">
        <v>1298</v>
      </c>
      <c r="W468" s="45" t="s">
        <v>2266</v>
      </c>
      <c r="X468" s="45" t="s">
        <v>1280</v>
      </c>
      <c r="Y468" s="45" t="s">
        <v>2267</v>
      </c>
      <c r="Z468" s="45" t="s">
        <v>170</v>
      </c>
      <c r="AA468" s="45" t="s">
        <v>509</v>
      </c>
      <c r="AB468" s="44" t="s">
        <v>1343</v>
      </c>
      <c r="AD468" s="46" t="s">
        <v>1281</v>
      </c>
      <c r="AE468" s="47" t="s">
        <v>802</v>
      </c>
    </row>
    <row r="469" spans="11:31" ht="17.25" customHeight="1" x14ac:dyDescent="0.25">
      <c r="K469" s="40" t="s">
        <v>1321</v>
      </c>
      <c r="L469" s="41" t="s">
        <v>2804</v>
      </c>
      <c r="M469" s="41" t="s">
        <v>535</v>
      </c>
      <c r="N469" s="41" t="s">
        <v>3141</v>
      </c>
      <c r="O469" s="41" t="s">
        <v>2369</v>
      </c>
      <c r="P469" s="41" t="s">
        <v>3145</v>
      </c>
      <c r="Q469" s="42" t="s">
        <v>1343</v>
      </c>
      <c r="V469" s="43">
        <v>1962</v>
      </c>
      <c r="W469" s="45" t="s">
        <v>2268</v>
      </c>
      <c r="X469" s="45" t="s">
        <v>1281</v>
      </c>
      <c r="Y469" s="45" t="s">
        <v>2269</v>
      </c>
      <c r="Z469" s="45" t="s">
        <v>86</v>
      </c>
      <c r="AA469" s="45" t="s">
        <v>513</v>
      </c>
      <c r="AB469" s="44" t="s">
        <v>1343</v>
      </c>
      <c r="AD469" s="46" t="s">
        <v>1282</v>
      </c>
      <c r="AE469" s="47" t="s">
        <v>802</v>
      </c>
    </row>
    <row r="470" spans="11:31" ht="17.25" customHeight="1" x14ac:dyDescent="0.25">
      <c r="K470" s="40" t="s">
        <v>312</v>
      </c>
      <c r="L470" s="41" t="s">
        <v>2805</v>
      </c>
      <c r="M470" s="41" t="s">
        <v>535</v>
      </c>
      <c r="N470" s="41" t="s">
        <v>3139</v>
      </c>
      <c r="O470" s="41" t="s">
        <v>2369</v>
      </c>
      <c r="P470" s="41" t="s">
        <v>3145</v>
      </c>
      <c r="Q470" s="42" t="s">
        <v>1343</v>
      </c>
      <c r="V470" s="43">
        <v>1963</v>
      </c>
      <c r="W470" s="45" t="s">
        <v>2270</v>
      </c>
      <c r="X470" s="45" t="s">
        <v>1103</v>
      </c>
      <c r="Y470" s="45" t="s">
        <v>2271</v>
      </c>
      <c r="Z470" s="45" t="s">
        <v>2357</v>
      </c>
      <c r="AA470" s="45" t="s">
        <v>545</v>
      </c>
      <c r="AB470" s="44" t="s">
        <v>1341</v>
      </c>
      <c r="AD470" s="46" t="s">
        <v>1283</v>
      </c>
      <c r="AE470" s="47" t="s">
        <v>802</v>
      </c>
    </row>
    <row r="471" spans="11:31" ht="17.25" customHeight="1" x14ac:dyDescent="0.25">
      <c r="K471" s="40" t="s">
        <v>20</v>
      </c>
      <c r="L471" s="41" t="s">
        <v>2806</v>
      </c>
      <c r="M471" s="41" t="s">
        <v>508</v>
      </c>
      <c r="N471" s="41" t="s">
        <v>3141</v>
      </c>
      <c r="O471" s="41" t="s">
        <v>2369</v>
      </c>
      <c r="P471" s="41" t="s">
        <v>3145</v>
      </c>
      <c r="Q471" s="42" t="s">
        <v>1343</v>
      </c>
      <c r="V471" s="43">
        <v>1280</v>
      </c>
      <c r="W471" s="45" t="s">
        <v>2272</v>
      </c>
      <c r="X471" s="45" t="s">
        <v>878</v>
      </c>
      <c r="Y471" s="45" t="s">
        <v>2273</v>
      </c>
      <c r="Z471" s="45" t="s">
        <v>190</v>
      </c>
      <c r="AA471" s="45" t="s">
        <v>500</v>
      </c>
      <c r="AB471" s="44" t="s">
        <v>500</v>
      </c>
      <c r="AD471" s="46" t="s">
        <v>1284</v>
      </c>
      <c r="AE471" s="47" t="s">
        <v>802</v>
      </c>
    </row>
    <row r="472" spans="11:31" ht="17.25" customHeight="1" x14ac:dyDescent="0.25">
      <c r="K472" s="40" t="s">
        <v>17</v>
      </c>
      <c r="L472" s="41" t="s">
        <v>2807</v>
      </c>
      <c r="M472" s="41" t="s">
        <v>508</v>
      </c>
      <c r="N472" s="41" t="s">
        <v>3142</v>
      </c>
      <c r="O472" s="41" t="s">
        <v>2369</v>
      </c>
      <c r="P472" s="41" t="s">
        <v>3145</v>
      </c>
      <c r="Q472" s="42" t="s">
        <v>1343</v>
      </c>
      <c r="V472" s="43">
        <v>1246</v>
      </c>
      <c r="W472" s="45" t="s">
        <v>2274</v>
      </c>
      <c r="X472" s="45" t="s">
        <v>1095</v>
      </c>
      <c r="Y472" s="45" t="s">
        <v>2275</v>
      </c>
      <c r="Z472" s="45" t="s">
        <v>181</v>
      </c>
      <c r="AA472" s="45" t="s">
        <v>544</v>
      </c>
      <c r="AB472" s="44" t="s">
        <v>1341</v>
      </c>
      <c r="AD472" s="46" t="s">
        <v>1285</v>
      </c>
      <c r="AE472" s="47" t="s">
        <v>802</v>
      </c>
    </row>
    <row r="473" spans="11:31" ht="17.25" customHeight="1" x14ac:dyDescent="0.25">
      <c r="K473" s="40" t="s">
        <v>18</v>
      </c>
      <c r="L473" s="41" t="s">
        <v>2808</v>
      </c>
      <c r="M473" s="41" t="s">
        <v>508</v>
      </c>
      <c r="N473" s="41" t="s">
        <v>3142</v>
      </c>
      <c r="O473" s="41" t="s">
        <v>2369</v>
      </c>
      <c r="P473" s="41" t="s">
        <v>3145</v>
      </c>
      <c r="Q473" s="42" t="s">
        <v>1343</v>
      </c>
      <c r="V473" s="43">
        <v>1935</v>
      </c>
      <c r="W473" s="45" t="s">
        <v>2276</v>
      </c>
      <c r="X473" s="45" t="s">
        <v>1282</v>
      </c>
      <c r="Y473" s="45" t="s">
        <v>3230</v>
      </c>
      <c r="Z473" s="45" t="s">
        <v>430</v>
      </c>
      <c r="AA473" s="45" t="s">
        <v>534</v>
      </c>
      <c r="AB473" s="44" t="s">
        <v>1343</v>
      </c>
      <c r="AD473" s="46" t="s">
        <v>1286</v>
      </c>
      <c r="AE473" s="47" t="s">
        <v>802</v>
      </c>
    </row>
    <row r="474" spans="11:31" ht="17.25" customHeight="1" x14ac:dyDescent="0.25">
      <c r="K474" s="40" t="s">
        <v>14</v>
      </c>
      <c r="L474" s="41" t="s">
        <v>2809</v>
      </c>
      <c r="M474" s="41" t="s">
        <v>508</v>
      </c>
      <c r="N474" s="41" t="s">
        <v>3142</v>
      </c>
      <c r="O474" s="41" t="s">
        <v>2369</v>
      </c>
      <c r="P474" s="41" t="s">
        <v>3145</v>
      </c>
      <c r="Q474" s="42" t="s">
        <v>1343</v>
      </c>
      <c r="V474" s="43">
        <v>1900</v>
      </c>
      <c r="W474" s="45" t="s">
        <v>2277</v>
      </c>
      <c r="X474" s="45" t="s">
        <v>1283</v>
      </c>
      <c r="Y474" s="45" t="s">
        <v>2278</v>
      </c>
      <c r="Z474" s="45" t="s">
        <v>272</v>
      </c>
      <c r="AA474" s="45" t="s">
        <v>519</v>
      </c>
      <c r="AB474" s="44" t="s">
        <v>1343</v>
      </c>
      <c r="AD474" s="46" t="s">
        <v>1287</v>
      </c>
      <c r="AE474" s="47" t="s">
        <v>802</v>
      </c>
    </row>
    <row r="475" spans="11:31" ht="17.25" customHeight="1" x14ac:dyDescent="0.25">
      <c r="K475" s="40" t="s">
        <v>97</v>
      </c>
      <c r="L475" s="41" t="s">
        <v>2810</v>
      </c>
      <c r="M475" s="41" t="s">
        <v>512</v>
      </c>
      <c r="N475" s="41" t="s">
        <v>3142</v>
      </c>
      <c r="O475" s="41" t="s">
        <v>2369</v>
      </c>
      <c r="P475" s="41" t="s">
        <v>3145</v>
      </c>
      <c r="Q475" s="42" t="s">
        <v>1343</v>
      </c>
      <c r="V475" s="43">
        <v>1395</v>
      </c>
      <c r="W475" s="45" t="s">
        <v>2279</v>
      </c>
      <c r="X475" s="45" t="s">
        <v>1284</v>
      </c>
      <c r="Y475" s="45" t="s">
        <v>2280</v>
      </c>
      <c r="Z475" s="45" t="s">
        <v>275</v>
      </c>
      <c r="AA475" s="45" t="s">
        <v>519</v>
      </c>
      <c r="AB475" s="44" t="s">
        <v>1343</v>
      </c>
      <c r="AD475" s="46" t="s">
        <v>1288</v>
      </c>
      <c r="AE475" s="47" t="s">
        <v>802</v>
      </c>
    </row>
    <row r="476" spans="11:31" ht="17.25" customHeight="1" x14ac:dyDescent="0.25">
      <c r="K476" s="40" t="s">
        <v>104</v>
      </c>
      <c r="L476" s="41" t="s">
        <v>2811</v>
      </c>
      <c r="M476" s="41" t="s">
        <v>510</v>
      </c>
      <c r="N476" s="41" t="s">
        <v>3142</v>
      </c>
      <c r="O476" s="41" t="s">
        <v>2369</v>
      </c>
      <c r="P476" s="41" t="s">
        <v>3145</v>
      </c>
      <c r="Q476" s="42" t="s">
        <v>1343</v>
      </c>
      <c r="V476" s="43">
        <v>1940</v>
      </c>
      <c r="W476" s="45" t="s">
        <v>2281</v>
      </c>
      <c r="X476" s="45" t="s">
        <v>1285</v>
      </c>
      <c r="Y476" s="45" t="s">
        <v>2282</v>
      </c>
      <c r="Z476" s="45" t="s">
        <v>733</v>
      </c>
      <c r="AA476" s="45" t="s">
        <v>521</v>
      </c>
      <c r="AB476" s="44" t="s">
        <v>1343</v>
      </c>
      <c r="AD476" s="46" t="s">
        <v>1289</v>
      </c>
      <c r="AE476" s="47" t="s">
        <v>802</v>
      </c>
    </row>
    <row r="477" spans="11:31" ht="17.25" customHeight="1" x14ac:dyDescent="0.25">
      <c r="K477" s="40" t="s">
        <v>96</v>
      </c>
      <c r="L477" s="41" t="s">
        <v>2812</v>
      </c>
      <c r="M477" s="41" t="s">
        <v>509</v>
      </c>
      <c r="N477" s="41" t="s">
        <v>3142</v>
      </c>
      <c r="O477" s="41" t="s">
        <v>2369</v>
      </c>
      <c r="P477" s="41" t="s">
        <v>3145</v>
      </c>
      <c r="Q477" s="42" t="s">
        <v>1343</v>
      </c>
      <c r="V477" s="43">
        <v>2281</v>
      </c>
      <c r="W477" s="45" t="s">
        <v>2283</v>
      </c>
      <c r="X477" s="45" t="s">
        <v>1104</v>
      </c>
      <c r="Y477" s="45" t="s">
        <v>2284</v>
      </c>
      <c r="Z477" s="45" t="s">
        <v>400</v>
      </c>
      <c r="AA477" s="45" t="s">
        <v>713</v>
      </c>
      <c r="AB477" s="44" t="s">
        <v>1341</v>
      </c>
      <c r="AD477" s="46" t="s">
        <v>1290</v>
      </c>
      <c r="AE477" s="47" t="s">
        <v>802</v>
      </c>
    </row>
    <row r="478" spans="11:31" ht="17.25" customHeight="1" x14ac:dyDescent="0.25">
      <c r="K478" s="40" t="s">
        <v>65</v>
      </c>
      <c r="L478" s="41" t="s">
        <v>2813</v>
      </c>
      <c r="M478" s="41" t="s">
        <v>527</v>
      </c>
      <c r="N478" s="41" t="s">
        <v>3142</v>
      </c>
      <c r="O478" s="41" t="s">
        <v>2369</v>
      </c>
      <c r="P478" s="41" t="s">
        <v>3145</v>
      </c>
      <c r="Q478" s="42" t="s">
        <v>1343</v>
      </c>
      <c r="V478" s="43">
        <v>1508</v>
      </c>
      <c r="W478" s="45" t="s">
        <v>2285</v>
      </c>
      <c r="X478" s="45" t="s">
        <v>1286</v>
      </c>
      <c r="Y478" s="45" t="s">
        <v>2286</v>
      </c>
      <c r="Z478" s="45" t="s">
        <v>222</v>
      </c>
      <c r="AA478" s="45" t="s">
        <v>499</v>
      </c>
      <c r="AB478" s="44" t="s">
        <v>1343</v>
      </c>
      <c r="AD478" s="46" t="s">
        <v>1291</v>
      </c>
      <c r="AE478" s="47" t="s">
        <v>802</v>
      </c>
    </row>
    <row r="479" spans="11:31" ht="17.25" customHeight="1" x14ac:dyDescent="0.25">
      <c r="K479" s="40" t="s">
        <v>94</v>
      </c>
      <c r="L479" s="41" t="s">
        <v>2814</v>
      </c>
      <c r="M479" s="41" t="s">
        <v>514</v>
      </c>
      <c r="N479" s="41" t="s">
        <v>3142</v>
      </c>
      <c r="O479" s="41" t="s">
        <v>2369</v>
      </c>
      <c r="P479" s="41" t="s">
        <v>3145</v>
      </c>
      <c r="Q479" s="42" t="s">
        <v>1343</v>
      </c>
      <c r="V479" s="43">
        <v>2324</v>
      </c>
      <c r="W479" s="45" t="s">
        <v>2287</v>
      </c>
      <c r="X479" s="45" t="s">
        <v>1287</v>
      </c>
      <c r="Y479" s="45" t="s">
        <v>2288</v>
      </c>
      <c r="Z479" s="45" t="s">
        <v>222</v>
      </c>
      <c r="AA479" s="45" t="s">
        <v>499</v>
      </c>
      <c r="AB479" s="44" t="s">
        <v>1343</v>
      </c>
      <c r="AD479" s="46" t="s">
        <v>1292</v>
      </c>
      <c r="AE479" s="47" t="s">
        <v>802</v>
      </c>
    </row>
    <row r="480" spans="11:31" ht="17.25" customHeight="1" x14ac:dyDescent="0.25">
      <c r="K480" s="40" t="s">
        <v>86</v>
      </c>
      <c r="L480" s="41" t="s">
        <v>2815</v>
      </c>
      <c r="M480" s="41" t="s">
        <v>513</v>
      </c>
      <c r="N480" s="41" t="s">
        <v>3142</v>
      </c>
      <c r="O480" s="41" t="s">
        <v>2369</v>
      </c>
      <c r="P480" s="41" t="s">
        <v>3145</v>
      </c>
      <c r="Q480" s="42" t="s">
        <v>1343</v>
      </c>
      <c r="V480" s="43">
        <v>1406</v>
      </c>
      <c r="W480" s="45" t="s">
        <v>2289</v>
      </c>
      <c r="X480" s="45" t="s">
        <v>1288</v>
      </c>
      <c r="Y480" s="45" t="s">
        <v>2290</v>
      </c>
      <c r="Z480" s="45" t="s">
        <v>217</v>
      </c>
      <c r="AA480" s="45" t="s">
        <v>512</v>
      </c>
      <c r="AB480" s="44" t="s">
        <v>1343</v>
      </c>
      <c r="AD480" s="46" t="s">
        <v>1293</v>
      </c>
      <c r="AE480" s="47" t="s">
        <v>802</v>
      </c>
    </row>
    <row r="481" spans="11:31" ht="17.25" customHeight="1" x14ac:dyDescent="0.25">
      <c r="K481" s="40" t="s">
        <v>67</v>
      </c>
      <c r="L481" s="41" t="s">
        <v>2816</v>
      </c>
      <c r="M481" s="41" t="s">
        <v>499</v>
      </c>
      <c r="N481" s="41" t="s">
        <v>3142</v>
      </c>
      <c r="O481" s="41" t="s">
        <v>2369</v>
      </c>
      <c r="P481" s="41" t="s">
        <v>3145</v>
      </c>
      <c r="Q481" s="42" t="s">
        <v>1343</v>
      </c>
      <c r="V481" s="43">
        <v>2286</v>
      </c>
      <c r="W481" s="45" t="s">
        <v>2291</v>
      </c>
      <c r="X481" s="45" t="s">
        <v>1289</v>
      </c>
      <c r="Y481" s="45" t="s">
        <v>2292</v>
      </c>
      <c r="Z481" s="45" t="s">
        <v>280</v>
      </c>
      <c r="AA481" s="45" t="s">
        <v>532</v>
      </c>
      <c r="AB481" s="44" t="s">
        <v>1343</v>
      </c>
      <c r="AD481" s="46" t="s">
        <v>1294</v>
      </c>
      <c r="AE481" s="47" t="s">
        <v>802</v>
      </c>
    </row>
    <row r="482" spans="11:31" ht="17.25" customHeight="1" x14ac:dyDescent="0.25">
      <c r="K482" s="40" t="s">
        <v>80</v>
      </c>
      <c r="L482" s="41" t="s">
        <v>2817</v>
      </c>
      <c r="M482" s="41" t="s">
        <v>527</v>
      </c>
      <c r="N482" s="41" t="s">
        <v>3142</v>
      </c>
      <c r="O482" s="41" t="s">
        <v>2369</v>
      </c>
      <c r="P482" s="41" t="s">
        <v>3145</v>
      </c>
      <c r="Q482" s="42" t="s">
        <v>1343</v>
      </c>
      <c r="V482" s="43">
        <v>1510</v>
      </c>
      <c r="W482" s="45" t="s">
        <v>2293</v>
      </c>
      <c r="X482" s="45" t="s">
        <v>1290</v>
      </c>
      <c r="Y482" s="45" t="s">
        <v>2294</v>
      </c>
      <c r="Z482" s="45" t="s">
        <v>413</v>
      </c>
      <c r="AA482" s="45" t="s">
        <v>523</v>
      </c>
      <c r="AB482" s="44" t="s">
        <v>1343</v>
      </c>
      <c r="AD482" s="46" t="s">
        <v>1295</v>
      </c>
      <c r="AE482" s="47" t="s">
        <v>802</v>
      </c>
    </row>
    <row r="483" spans="11:31" ht="17.25" customHeight="1" x14ac:dyDescent="0.25">
      <c r="K483" s="40" t="s">
        <v>45</v>
      </c>
      <c r="L483" s="41" t="s">
        <v>2818</v>
      </c>
      <c r="M483" s="41" t="s">
        <v>518</v>
      </c>
      <c r="N483" s="41" t="s">
        <v>3142</v>
      </c>
      <c r="O483" s="41" t="s">
        <v>2369</v>
      </c>
      <c r="P483" s="41" t="s">
        <v>3145</v>
      </c>
      <c r="Q483" s="42" t="s">
        <v>1343</v>
      </c>
      <c r="V483" s="43">
        <v>2454</v>
      </c>
      <c r="W483" s="45" t="s">
        <v>3109</v>
      </c>
      <c r="X483" s="45" t="s">
        <v>3109</v>
      </c>
      <c r="Y483" s="45" t="s">
        <v>3109</v>
      </c>
      <c r="Z483" s="45" t="s">
        <v>39</v>
      </c>
      <c r="AA483" s="45" t="s">
        <v>552</v>
      </c>
      <c r="AB483" s="44" t="s">
        <v>1341</v>
      </c>
      <c r="AD483" s="46" t="s">
        <v>1296</v>
      </c>
      <c r="AE483" s="47" t="s">
        <v>802</v>
      </c>
    </row>
    <row r="484" spans="11:31" ht="17.25" customHeight="1" thickBot="1" x14ac:dyDescent="0.3">
      <c r="K484" s="40" t="s">
        <v>72</v>
      </c>
      <c r="L484" s="41" t="s">
        <v>2819</v>
      </c>
      <c r="M484" s="41" t="s">
        <v>1322</v>
      </c>
      <c r="N484" s="41" t="s">
        <v>3142</v>
      </c>
      <c r="O484" s="41" t="s">
        <v>2369</v>
      </c>
      <c r="P484" s="41" t="s">
        <v>3145</v>
      </c>
      <c r="Q484" s="42" t="s">
        <v>1343</v>
      </c>
      <c r="V484" s="43">
        <v>1433</v>
      </c>
      <c r="W484" s="45" t="s">
        <v>2295</v>
      </c>
      <c r="X484" s="45" t="s">
        <v>1105</v>
      </c>
      <c r="Y484" s="45" t="s">
        <v>2296</v>
      </c>
      <c r="Z484" s="45" t="s">
        <v>784</v>
      </c>
      <c r="AA484" s="45" t="s">
        <v>541</v>
      </c>
      <c r="AB484" s="44" t="s">
        <v>1341</v>
      </c>
      <c r="AD484" s="72" t="s">
        <v>1297</v>
      </c>
      <c r="AE484" s="73" t="s">
        <v>802</v>
      </c>
    </row>
    <row r="485" spans="11:31" ht="17.25" customHeight="1" x14ac:dyDescent="0.25">
      <c r="K485" s="40" t="s">
        <v>101</v>
      </c>
      <c r="L485" s="41" t="s">
        <v>2820</v>
      </c>
      <c r="M485" s="41" t="s">
        <v>519</v>
      </c>
      <c r="N485" s="41" t="s">
        <v>3142</v>
      </c>
      <c r="O485" s="41" t="s">
        <v>2369</v>
      </c>
      <c r="P485" s="41" t="s">
        <v>3145</v>
      </c>
      <c r="Q485" s="42" t="s">
        <v>1343</v>
      </c>
      <c r="V485" s="43">
        <v>1449</v>
      </c>
      <c r="W485" s="45" t="s">
        <v>2297</v>
      </c>
      <c r="X485" s="45" t="s">
        <v>1291</v>
      </c>
      <c r="Y485" s="45" t="s">
        <v>2298</v>
      </c>
      <c r="Z485" s="45" t="s">
        <v>690</v>
      </c>
      <c r="AA485" s="45" t="s">
        <v>532</v>
      </c>
      <c r="AB485" s="44" t="s">
        <v>1343</v>
      </c>
    </row>
    <row r="486" spans="11:31" ht="17.25" customHeight="1" x14ac:dyDescent="0.25">
      <c r="K486" s="40" t="s">
        <v>98</v>
      </c>
      <c r="L486" s="41" t="s">
        <v>2821</v>
      </c>
      <c r="M486" s="41" t="s">
        <v>522</v>
      </c>
      <c r="N486" s="41" t="s">
        <v>3142</v>
      </c>
      <c r="O486" s="41" t="s">
        <v>2369</v>
      </c>
      <c r="P486" s="41" t="s">
        <v>3145</v>
      </c>
      <c r="Q486" s="42" t="s">
        <v>1343</v>
      </c>
      <c r="V486" s="43">
        <v>2295</v>
      </c>
      <c r="W486" s="45" t="s">
        <v>2299</v>
      </c>
      <c r="X486" s="45" t="s">
        <v>1292</v>
      </c>
      <c r="Y486" s="45" t="s">
        <v>2300</v>
      </c>
      <c r="Z486" s="45" t="s">
        <v>2317</v>
      </c>
      <c r="AA486" s="45" t="s">
        <v>512</v>
      </c>
      <c r="AB486" s="44" t="s">
        <v>1343</v>
      </c>
    </row>
    <row r="487" spans="11:31" ht="17.25" customHeight="1" x14ac:dyDescent="0.25">
      <c r="K487" s="40" t="s">
        <v>95</v>
      </c>
      <c r="L487" s="41" t="s">
        <v>2822</v>
      </c>
      <c r="M487" s="41" t="s">
        <v>521</v>
      </c>
      <c r="N487" s="41" t="s">
        <v>3142</v>
      </c>
      <c r="O487" s="41" t="s">
        <v>2369</v>
      </c>
      <c r="P487" s="41" t="s">
        <v>3145</v>
      </c>
      <c r="Q487" s="42" t="s">
        <v>1343</v>
      </c>
      <c r="V487" s="43">
        <v>1511</v>
      </c>
      <c r="W487" s="45" t="s">
        <v>2301</v>
      </c>
      <c r="X487" s="45" t="s">
        <v>1293</v>
      </c>
      <c r="Y487" s="45" t="s">
        <v>2302</v>
      </c>
      <c r="Z487" s="45" t="s">
        <v>22</v>
      </c>
      <c r="AA487" s="45" t="s">
        <v>524</v>
      </c>
      <c r="AB487" s="44" t="s">
        <v>1343</v>
      </c>
    </row>
    <row r="488" spans="11:31" ht="17.25" customHeight="1" x14ac:dyDescent="0.25">
      <c r="K488" s="40" t="s">
        <v>77</v>
      </c>
      <c r="L488" s="41" t="s">
        <v>2823</v>
      </c>
      <c r="M488" s="41" t="s">
        <v>520</v>
      </c>
      <c r="N488" s="41" t="s">
        <v>3142</v>
      </c>
      <c r="O488" s="41" t="s">
        <v>2369</v>
      </c>
      <c r="P488" s="41" t="s">
        <v>3145</v>
      </c>
      <c r="Q488" s="42" t="s">
        <v>1343</v>
      </c>
      <c r="V488" s="43">
        <v>2355</v>
      </c>
      <c r="W488" s="45" t="s">
        <v>2303</v>
      </c>
      <c r="X488" s="45" t="s">
        <v>1294</v>
      </c>
      <c r="Y488" s="45" t="s">
        <v>2304</v>
      </c>
      <c r="Z488" s="45" t="s">
        <v>275</v>
      </c>
      <c r="AA488" s="45" t="s">
        <v>519</v>
      </c>
      <c r="AB488" s="44" t="s">
        <v>1343</v>
      </c>
    </row>
    <row r="489" spans="11:31" ht="17.25" customHeight="1" x14ac:dyDescent="0.25">
      <c r="K489" s="40" t="s">
        <v>88</v>
      </c>
      <c r="L489" s="41" t="s">
        <v>2824</v>
      </c>
      <c r="M489" s="41" t="s">
        <v>523</v>
      </c>
      <c r="N489" s="41" t="s">
        <v>3142</v>
      </c>
      <c r="O489" s="41" t="s">
        <v>2369</v>
      </c>
      <c r="P489" s="41" t="s">
        <v>3145</v>
      </c>
      <c r="Q489" s="42" t="s">
        <v>1343</v>
      </c>
      <c r="V489" s="43">
        <v>1421</v>
      </c>
      <c r="W489" s="45" t="s">
        <v>2305</v>
      </c>
      <c r="X489" s="45" t="s">
        <v>1295</v>
      </c>
      <c r="Y489" s="45" t="s">
        <v>2306</v>
      </c>
      <c r="Z489" s="45" t="s">
        <v>268</v>
      </c>
      <c r="AA489" s="45" t="s">
        <v>509</v>
      </c>
      <c r="AB489" s="44" t="s">
        <v>1343</v>
      </c>
    </row>
    <row r="490" spans="11:31" ht="17.25" customHeight="1" x14ac:dyDescent="0.25">
      <c r="K490" s="40" t="s">
        <v>78</v>
      </c>
      <c r="L490" s="41" t="s">
        <v>2825</v>
      </c>
      <c r="M490" s="41" t="s">
        <v>524</v>
      </c>
      <c r="N490" s="41" t="s">
        <v>3142</v>
      </c>
      <c r="O490" s="41" t="s">
        <v>2369</v>
      </c>
      <c r="P490" s="41" t="s">
        <v>3145</v>
      </c>
      <c r="Q490" s="42" t="s">
        <v>1343</v>
      </c>
      <c r="V490" s="43">
        <v>1901</v>
      </c>
      <c r="W490" s="45" t="s">
        <v>2307</v>
      </c>
      <c r="X490" s="45" t="s">
        <v>1296</v>
      </c>
      <c r="Y490" s="45" t="s">
        <v>2308</v>
      </c>
      <c r="Z490" s="45" t="s">
        <v>267</v>
      </c>
      <c r="AA490" s="45" t="s">
        <v>525</v>
      </c>
      <c r="AB490" s="44" t="s">
        <v>1343</v>
      </c>
    </row>
    <row r="491" spans="11:31" ht="17.25" customHeight="1" x14ac:dyDescent="0.25">
      <c r="K491" s="40" t="s">
        <v>92</v>
      </c>
      <c r="L491" s="41" t="s">
        <v>2826</v>
      </c>
      <c r="M491" s="41" t="s">
        <v>517</v>
      </c>
      <c r="N491" s="41" t="s">
        <v>3142</v>
      </c>
      <c r="O491" s="41" t="s">
        <v>2369</v>
      </c>
      <c r="P491" s="41" t="s">
        <v>3145</v>
      </c>
      <c r="Q491" s="42" t="s">
        <v>1343</v>
      </c>
      <c r="V491" s="43">
        <v>2294</v>
      </c>
      <c r="W491" s="45" t="s">
        <v>2309</v>
      </c>
      <c r="X491" s="45" t="s">
        <v>1297</v>
      </c>
      <c r="Y491" s="45" t="s">
        <v>2310</v>
      </c>
      <c r="Z491" s="45" t="s">
        <v>278</v>
      </c>
      <c r="AA491" s="45" t="s">
        <v>512</v>
      </c>
      <c r="AB491" s="44" t="s">
        <v>1343</v>
      </c>
    </row>
    <row r="492" spans="11:31" ht="17.25" customHeight="1" x14ac:dyDescent="0.25">
      <c r="K492" s="40" t="s">
        <v>81</v>
      </c>
      <c r="L492" s="41" t="s">
        <v>2827</v>
      </c>
      <c r="M492" s="41" t="s">
        <v>528</v>
      </c>
      <c r="N492" s="41" t="s">
        <v>3142</v>
      </c>
      <c r="O492" s="41" t="s">
        <v>2369</v>
      </c>
      <c r="P492" s="41" t="s">
        <v>3145</v>
      </c>
      <c r="Q492" s="42" t="s">
        <v>1343</v>
      </c>
      <c r="V492" s="43">
        <v>1297</v>
      </c>
      <c r="W492" s="45" t="s">
        <v>2311</v>
      </c>
      <c r="X492" s="45" t="s">
        <v>863</v>
      </c>
      <c r="Y492" s="45" t="s">
        <v>2311</v>
      </c>
      <c r="Z492" s="45" t="s">
        <v>51</v>
      </c>
      <c r="AA492" s="45" t="s">
        <v>500</v>
      </c>
      <c r="AB492" s="44" t="s">
        <v>500</v>
      </c>
    </row>
    <row r="493" spans="11:31" ht="17.25" customHeight="1" x14ac:dyDescent="0.25">
      <c r="K493" s="40" t="s">
        <v>57</v>
      </c>
      <c r="L493" s="41" t="s">
        <v>2828</v>
      </c>
      <c r="M493" s="41" t="s">
        <v>530</v>
      </c>
      <c r="N493" s="41" t="s">
        <v>3142</v>
      </c>
      <c r="O493" s="41" t="s">
        <v>2369</v>
      </c>
      <c r="P493" s="41" t="s">
        <v>3145</v>
      </c>
      <c r="Q493" s="42" t="s">
        <v>1343</v>
      </c>
      <c r="V493" s="43">
        <v>1297</v>
      </c>
      <c r="W493" s="45" t="s">
        <v>2311</v>
      </c>
      <c r="X493" s="45" t="s">
        <v>2311</v>
      </c>
      <c r="Y493" s="45" t="s">
        <v>863</v>
      </c>
      <c r="Z493" s="45" t="s">
        <v>51</v>
      </c>
      <c r="AA493" s="45" t="s">
        <v>500</v>
      </c>
      <c r="AB493" s="44" t="s">
        <v>500</v>
      </c>
    </row>
    <row r="494" spans="11:31" ht="17.25" customHeight="1" x14ac:dyDescent="0.25">
      <c r="K494" s="40" t="s">
        <v>38</v>
      </c>
      <c r="L494" s="41" t="s">
        <v>2829</v>
      </c>
      <c r="M494" s="41" t="s">
        <v>531</v>
      </c>
      <c r="N494" s="41" t="s">
        <v>3142</v>
      </c>
      <c r="O494" s="41" t="s">
        <v>2369</v>
      </c>
      <c r="P494" s="41" t="s">
        <v>3145</v>
      </c>
      <c r="Q494" s="42" t="s">
        <v>1343</v>
      </c>
      <c r="V494" s="43">
        <v>1327</v>
      </c>
      <c r="W494" s="45" t="s">
        <v>929</v>
      </c>
      <c r="X494" s="45" t="s">
        <v>929</v>
      </c>
      <c r="Y494" s="45" t="s">
        <v>3310</v>
      </c>
      <c r="Z494" s="45" t="s">
        <v>110</v>
      </c>
      <c r="AA494" s="45" t="s">
        <v>507</v>
      </c>
      <c r="AB494" s="44" t="s">
        <v>15</v>
      </c>
    </row>
    <row r="495" spans="11:31" ht="17.25" customHeight="1" x14ac:dyDescent="0.25">
      <c r="K495" s="40" t="s">
        <v>43</v>
      </c>
      <c r="L495" s="41" t="s">
        <v>2830</v>
      </c>
      <c r="M495" s="41" t="s">
        <v>532</v>
      </c>
      <c r="N495" s="41" t="s">
        <v>3142</v>
      </c>
      <c r="O495" s="41" t="s">
        <v>2369</v>
      </c>
      <c r="P495" s="41" t="s">
        <v>3145</v>
      </c>
      <c r="Q495" s="42" t="s">
        <v>1343</v>
      </c>
      <c r="V495" s="43">
        <v>2459</v>
      </c>
      <c r="W495" s="45"/>
      <c r="X495" s="45"/>
      <c r="Y495" s="45" t="s">
        <v>3125</v>
      </c>
      <c r="Z495" s="45" t="s">
        <v>390</v>
      </c>
      <c r="AA495" s="45" t="s">
        <v>547</v>
      </c>
      <c r="AB495" s="44" t="s">
        <v>1341</v>
      </c>
    </row>
    <row r="496" spans="11:31" ht="17.25" customHeight="1" x14ac:dyDescent="0.25">
      <c r="K496" s="40" t="s">
        <v>46</v>
      </c>
      <c r="L496" s="41" t="s">
        <v>2831</v>
      </c>
      <c r="M496" s="41" t="s">
        <v>526</v>
      </c>
      <c r="N496" s="41" t="s">
        <v>3142</v>
      </c>
      <c r="O496" s="41" t="s">
        <v>2369</v>
      </c>
      <c r="P496" s="41" t="s">
        <v>3145</v>
      </c>
      <c r="Q496" s="42" t="s">
        <v>1343</v>
      </c>
      <c r="V496" s="43">
        <v>2460</v>
      </c>
      <c r="W496" s="45"/>
      <c r="X496" s="45"/>
      <c r="Y496" s="45" t="s">
        <v>3126</v>
      </c>
      <c r="Z496" s="45" t="s">
        <v>52</v>
      </c>
      <c r="AA496" s="45" t="s">
        <v>500</v>
      </c>
      <c r="AB496" s="44" t="s">
        <v>500</v>
      </c>
    </row>
    <row r="497" spans="11:28" ht="17.25" customHeight="1" x14ac:dyDescent="0.25">
      <c r="K497" s="40" t="s">
        <v>24</v>
      </c>
      <c r="L497" s="41" t="s">
        <v>2832</v>
      </c>
      <c r="M497" s="41" t="s">
        <v>525</v>
      </c>
      <c r="N497" s="41" t="s">
        <v>3142</v>
      </c>
      <c r="O497" s="41" t="s">
        <v>2369</v>
      </c>
      <c r="P497" s="41" t="s">
        <v>3152</v>
      </c>
      <c r="Q497" s="42" t="s">
        <v>1343</v>
      </c>
      <c r="V497" s="43">
        <v>2462</v>
      </c>
      <c r="W497" s="45"/>
      <c r="X497" s="45"/>
      <c r="Y497" s="45" t="s">
        <v>3127</v>
      </c>
      <c r="Z497" s="45" t="s">
        <v>24</v>
      </c>
      <c r="AA497" s="45" t="s">
        <v>525</v>
      </c>
      <c r="AB497" s="44" t="s">
        <v>1343</v>
      </c>
    </row>
    <row r="498" spans="11:28" ht="17.25" customHeight="1" x14ac:dyDescent="0.25">
      <c r="K498" s="40" t="s">
        <v>79</v>
      </c>
      <c r="L498" s="41" t="s">
        <v>2833</v>
      </c>
      <c r="M498" s="41" t="s">
        <v>533</v>
      </c>
      <c r="N498" s="41" t="s">
        <v>3142</v>
      </c>
      <c r="O498" s="41" t="s">
        <v>2369</v>
      </c>
      <c r="P498" s="41" t="s">
        <v>3145</v>
      </c>
      <c r="Q498" s="42" t="s">
        <v>1343</v>
      </c>
      <c r="V498" s="43">
        <v>2456</v>
      </c>
      <c r="W498" s="45"/>
      <c r="X498" s="45"/>
      <c r="Y498" s="45" t="s">
        <v>3113</v>
      </c>
      <c r="Z498" s="45" t="s">
        <v>146</v>
      </c>
      <c r="AA498" s="45" t="s">
        <v>500</v>
      </c>
      <c r="AB498" s="44" t="s">
        <v>500</v>
      </c>
    </row>
    <row r="499" spans="11:28" ht="17.25" customHeight="1" x14ac:dyDescent="0.25">
      <c r="K499" s="40" t="s">
        <v>53</v>
      </c>
      <c r="L499" s="41" t="s">
        <v>2834</v>
      </c>
      <c r="M499" s="41" t="s">
        <v>534</v>
      </c>
      <c r="N499" s="41" t="s">
        <v>3142</v>
      </c>
      <c r="O499" s="41" t="s">
        <v>2369</v>
      </c>
      <c r="P499" s="41" t="s">
        <v>3145</v>
      </c>
      <c r="Q499" s="42" t="s">
        <v>1343</v>
      </c>
      <c r="V499" s="43">
        <v>2461</v>
      </c>
      <c r="W499" s="45"/>
      <c r="X499" s="45"/>
      <c r="Y499" s="45" t="s">
        <v>3114</v>
      </c>
      <c r="Z499" s="45" t="s">
        <v>52</v>
      </c>
      <c r="AA499" s="45" t="s">
        <v>500</v>
      </c>
      <c r="AB499" s="44" t="s">
        <v>500</v>
      </c>
    </row>
    <row r="500" spans="11:28" ht="17.25" customHeight="1" x14ac:dyDescent="0.25">
      <c r="K500" s="40" t="s">
        <v>157</v>
      </c>
      <c r="L500" s="41" t="s">
        <v>2835</v>
      </c>
      <c r="M500" s="41" t="s">
        <v>508</v>
      </c>
      <c r="N500" s="41" t="s">
        <v>3141</v>
      </c>
      <c r="O500" s="41" t="s">
        <v>2369</v>
      </c>
      <c r="P500" s="41" t="s">
        <v>3145</v>
      </c>
      <c r="Q500" s="42" t="s">
        <v>1343</v>
      </c>
      <c r="V500" s="43">
        <v>2451</v>
      </c>
      <c r="W500" s="45"/>
      <c r="X500" s="45"/>
      <c r="Y500" s="45" t="s">
        <v>3107</v>
      </c>
      <c r="Z500" s="45" t="s">
        <v>124</v>
      </c>
      <c r="AA500" s="45" t="s">
        <v>507</v>
      </c>
      <c r="AB500" s="44" t="s">
        <v>15</v>
      </c>
    </row>
    <row r="501" spans="11:28" ht="17.25" customHeight="1" x14ac:dyDescent="0.25">
      <c r="K501" s="40" t="s">
        <v>204</v>
      </c>
      <c r="L501" s="41" t="s">
        <v>2836</v>
      </c>
      <c r="M501" s="41" t="s">
        <v>520</v>
      </c>
      <c r="N501" s="41" t="s">
        <v>3139</v>
      </c>
      <c r="O501" s="41" t="s">
        <v>2369</v>
      </c>
      <c r="P501" s="41" t="s">
        <v>3145</v>
      </c>
      <c r="Q501" s="42" t="s">
        <v>1343</v>
      </c>
      <c r="V501" s="43">
        <v>2452</v>
      </c>
      <c r="W501" s="45"/>
      <c r="X501" s="45"/>
      <c r="Y501" s="45" t="s">
        <v>3108</v>
      </c>
      <c r="Z501" s="45" t="s">
        <v>124</v>
      </c>
      <c r="AA501" s="45" t="s">
        <v>507</v>
      </c>
      <c r="AB501" s="44" t="s">
        <v>15</v>
      </c>
    </row>
    <row r="502" spans="11:28" ht="17.25" customHeight="1" x14ac:dyDescent="0.25">
      <c r="K502" s="40" t="s">
        <v>230</v>
      </c>
      <c r="L502" s="41" t="s">
        <v>2837</v>
      </c>
      <c r="M502" s="41" t="s">
        <v>518</v>
      </c>
      <c r="N502" s="41" t="s">
        <v>3141</v>
      </c>
      <c r="O502" s="41" t="s">
        <v>2369</v>
      </c>
      <c r="P502" s="41" t="s">
        <v>3145</v>
      </c>
      <c r="Q502" s="42" t="s">
        <v>1343</v>
      </c>
      <c r="V502" s="43">
        <v>2453</v>
      </c>
      <c r="W502" s="45"/>
      <c r="X502" s="45"/>
      <c r="Y502" s="45" t="s">
        <v>3228</v>
      </c>
      <c r="Z502" s="45" t="s">
        <v>112</v>
      </c>
      <c r="AA502" s="45" t="s">
        <v>507</v>
      </c>
      <c r="AB502" s="44" t="s">
        <v>15</v>
      </c>
    </row>
    <row r="503" spans="11:28" ht="17.25" customHeight="1" x14ac:dyDescent="0.25">
      <c r="K503" s="40" t="s">
        <v>215</v>
      </c>
      <c r="L503" s="41" t="s">
        <v>2838</v>
      </c>
      <c r="M503" s="41" t="s">
        <v>533</v>
      </c>
      <c r="N503" s="41" t="s">
        <v>3141</v>
      </c>
      <c r="O503" s="41" t="s">
        <v>2369</v>
      </c>
      <c r="P503" s="41" t="s">
        <v>3145</v>
      </c>
      <c r="Q503" s="42" t="s">
        <v>1343</v>
      </c>
      <c r="V503" s="43">
        <v>2346</v>
      </c>
      <c r="W503" s="45" t="s">
        <v>796</v>
      </c>
      <c r="X503" s="45" t="s">
        <v>796</v>
      </c>
      <c r="Y503" s="45" t="s">
        <v>796</v>
      </c>
      <c r="Z503" s="45" t="s">
        <v>128</v>
      </c>
      <c r="AA503" s="45" t="s">
        <v>507</v>
      </c>
      <c r="AB503" s="44" t="s">
        <v>15</v>
      </c>
    </row>
    <row r="504" spans="11:28" ht="17.25" customHeight="1" thickBot="1" x14ac:dyDescent="0.3">
      <c r="K504" s="40" t="s">
        <v>148</v>
      </c>
      <c r="L504" s="41" t="s">
        <v>2839</v>
      </c>
      <c r="M504" s="41" t="s">
        <v>518</v>
      </c>
      <c r="N504" s="41" t="s">
        <v>3141</v>
      </c>
      <c r="O504" s="41" t="s">
        <v>2369</v>
      </c>
      <c r="P504" s="41" t="s">
        <v>3145</v>
      </c>
      <c r="Q504" s="42" t="s">
        <v>1343</v>
      </c>
      <c r="V504" s="67">
        <v>1904</v>
      </c>
      <c r="W504" s="74" t="s">
        <v>798</v>
      </c>
      <c r="X504" s="74" t="s">
        <v>798</v>
      </c>
      <c r="Y504" s="74" t="s">
        <v>798</v>
      </c>
      <c r="Z504" s="74" t="s">
        <v>128</v>
      </c>
      <c r="AA504" s="74" t="s">
        <v>507</v>
      </c>
      <c r="AB504" s="71" t="s">
        <v>15</v>
      </c>
    </row>
    <row r="505" spans="11:28" ht="17.25" customHeight="1" x14ac:dyDescent="0.25">
      <c r="K505" s="40" t="s">
        <v>211</v>
      </c>
      <c r="L505" s="41" t="s">
        <v>2840</v>
      </c>
      <c r="M505" s="41" t="s">
        <v>530</v>
      </c>
      <c r="N505" s="41" t="s">
        <v>3141</v>
      </c>
      <c r="O505" s="41" t="s">
        <v>2369</v>
      </c>
      <c r="P505" s="41" t="s">
        <v>3145</v>
      </c>
      <c r="Q505" s="42" t="s">
        <v>1343</v>
      </c>
      <c r="V505" s="75"/>
      <c r="W505" s="76"/>
      <c r="X505" s="76" t="s">
        <v>825</v>
      </c>
      <c r="Y505" s="76"/>
      <c r="Z505" s="76"/>
      <c r="AA505" s="76" t="s">
        <v>506</v>
      </c>
      <c r="AB505" s="77" t="s">
        <v>506</v>
      </c>
    </row>
    <row r="506" spans="11:28" ht="17.25" customHeight="1" x14ac:dyDescent="0.25">
      <c r="K506" s="40" t="s">
        <v>206</v>
      </c>
      <c r="L506" s="41" t="s">
        <v>2841</v>
      </c>
      <c r="M506" s="41" t="s">
        <v>531</v>
      </c>
      <c r="N506" s="41" t="s">
        <v>3139</v>
      </c>
      <c r="O506" s="41" t="s">
        <v>2369</v>
      </c>
      <c r="P506" s="41" t="s">
        <v>3145</v>
      </c>
      <c r="Q506" s="42" t="s">
        <v>1343</v>
      </c>
      <c r="V506" s="43"/>
      <c r="W506" s="45"/>
      <c r="X506" s="45" t="s">
        <v>864</v>
      </c>
      <c r="Y506" s="45"/>
      <c r="Z506" s="45"/>
      <c r="AA506" s="45" t="s">
        <v>500</v>
      </c>
      <c r="AB506" s="44" t="s">
        <v>500</v>
      </c>
    </row>
    <row r="507" spans="11:28" ht="17.25" customHeight="1" x14ac:dyDescent="0.25">
      <c r="K507" s="40" t="s">
        <v>236</v>
      </c>
      <c r="L507" s="41" t="s">
        <v>2842</v>
      </c>
      <c r="M507" s="41" t="s">
        <v>517</v>
      </c>
      <c r="N507" s="41" t="s">
        <v>3141</v>
      </c>
      <c r="O507" s="41" t="s">
        <v>2369</v>
      </c>
      <c r="P507" s="41" t="s">
        <v>3145</v>
      </c>
      <c r="Q507" s="42" t="s">
        <v>1343</v>
      </c>
      <c r="V507" s="43"/>
      <c r="W507" s="45"/>
      <c r="X507" s="45" t="s">
        <v>865</v>
      </c>
      <c r="Y507" s="45"/>
      <c r="Z507" s="45"/>
      <c r="AA507" s="45" t="s">
        <v>500</v>
      </c>
      <c r="AB507" s="44" t="s">
        <v>500</v>
      </c>
    </row>
    <row r="508" spans="11:28" ht="17.25" customHeight="1" x14ac:dyDescent="0.25">
      <c r="K508" s="40" t="s">
        <v>1323</v>
      </c>
      <c r="L508" s="41" t="s">
        <v>2843</v>
      </c>
      <c r="M508" s="41" t="s">
        <v>532</v>
      </c>
      <c r="N508" s="41" t="s">
        <v>3141</v>
      </c>
      <c r="O508" s="41" t="s">
        <v>2369</v>
      </c>
      <c r="P508" s="41" t="s">
        <v>3145</v>
      </c>
      <c r="Q508" s="42" t="s">
        <v>1343</v>
      </c>
      <c r="V508" s="43"/>
      <c r="W508" s="45"/>
      <c r="X508" s="45" t="s">
        <v>930</v>
      </c>
      <c r="Y508" s="45"/>
      <c r="Z508" s="45"/>
      <c r="AA508" s="45" t="s">
        <v>507</v>
      </c>
      <c r="AB508" s="44" t="s">
        <v>15</v>
      </c>
    </row>
    <row r="509" spans="11:28" ht="17.25" customHeight="1" x14ac:dyDescent="0.25">
      <c r="K509" s="40" t="s">
        <v>203</v>
      </c>
      <c r="L509" s="41" t="s">
        <v>2844</v>
      </c>
      <c r="M509" s="41" t="s">
        <v>519</v>
      </c>
      <c r="N509" s="41" t="s">
        <v>3141</v>
      </c>
      <c r="O509" s="41" t="s">
        <v>2369</v>
      </c>
      <c r="P509" s="41" t="s">
        <v>3145</v>
      </c>
      <c r="Q509" s="42" t="s">
        <v>1343</v>
      </c>
      <c r="V509" s="43"/>
      <c r="W509" s="45"/>
      <c r="X509" s="45" t="s">
        <v>931</v>
      </c>
      <c r="Y509" s="45"/>
      <c r="Z509" s="45"/>
      <c r="AA509" s="45" t="s">
        <v>507</v>
      </c>
      <c r="AB509" s="44" t="s">
        <v>15</v>
      </c>
    </row>
    <row r="510" spans="11:28" ht="17.25" customHeight="1" x14ac:dyDescent="0.25">
      <c r="K510" s="40" t="s">
        <v>209</v>
      </c>
      <c r="L510" s="41" t="s">
        <v>2845</v>
      </c>
      <c r="M510" s="41" t="s">
        <v>518</v>
      </c>
      <c r="N510" s="41" t="s">
        <v>3141</v>
      </c>
      <c r="O510" s="41" t="s">
        <v>2369</v>
      </c>
      <c r="P510" s="41" t="s">
        <v>3145</v>
      </c>
      <c r="Q510" s="42" t="s">
        <v>1343</v>
      </c>
      <c r="V510" s="43"/>
      <c r="W510" s="45"/>
      <c r="X510" s="45" t="s">
        <v>932</v>
      </c>
      <c r="Y510" s="45"/>
      <c r="Z510" s="45"/>
      <c r="AA510" s="45" t="s">
        <v>507</v>
      </c>
      <c r="AB510" s="44" t="s">
        <v>15</v>
      </c>
    </row>
    <row r="511" spans="11:28" ht="17.25" customHeight="1" x14ac:dyDescent="0.25">
      <c r="K511" s="40" t="s">
        <v>1324</v>
      </c>
      <c r="L511" s="41" t="s">
        <v>2846</v>
      </c>
      <c r="M511" s="41" t="s">
        <v>532</v>
      </c>
      <c r="N511" s="41" t="s">
        <v>3141</v>
      </c>
      <c r="O511" s="41" t="s">
        <v>2369</v>
      </c>
      <c r="P511" s="41" t="s">
        <v>3145</v>
      </c>
      <c r="Q511" s="42" t="s">
        <v>1343</v>
      </c>
      <c r="V511" s="43"/>
      <c r="W511" s="45"/>
      <c r="X511" s="45" t="s">
        <v>933</v>
      </c>
      <c r="Y511" s="45"/>
      <c r="Z511" s="45"/>
      <c r="AA511" s="45" t="s">
        <v>507</v>
      </c>
      <c r="AB511" s="44" t="s">
        <v>15</v>
      </c>
    </row>
    <row r="512" spans="11:28" ht="17.25" customHeight="1" x14ac:dyDescent="0.25">
      <c r="K512" s="40" t="s">
        <v>108</v>
      </c>
      <c r="L512" s="41" t="s">
        <v>2847</v>
      </c>
      <c r="M512" s="41" t="s">
        <v>509</v>
      </c>
      <c r="N512" s="41" t="s">
        <v>3141</v>
      </c>
      <c r="O512" s="41" t="s">
        <v>2369</v>
      </c>
      <c r="P512" s="41" t="s">
        <v>3145</v>
      </c>
      <c r="Q512" s="42" t="s">
        <v>1343</v>
      </c>
      <c r="V512" s="43"/>
      <c r="W512" s="45"/>
      <c r="X512" s="45" t="s">
        <v>1068</v>
      </c>
      <c r="Y512" s="45"/>
      <c r="Z512" s="45"/>
      <c r="AA512" s="45" t="s">
        <v>545</v>
      </c>
      <c r="AB512" s="44" t="s">
        <v>767</v>
      </c>
    </row>
    <row r="513" spans="11:28" ht="17.25" customHeight="1" x14ac:dyDescent="0.25">
      <c r="K513" s="40" t="s">
        <v>266</v>
      </c>
      <c r="L513" s="41" t="s">
        <v>2848</v>
      </c>
      <c r="M513" s="41" t="s">
        <v>509</v>
      </c>
      <c r="N513" s="41" t="s">
        <v>3141</v>
      </c>
      <c r="O513" s="41" t="s">
        <v>2369</v>
      </c>
      <c r="P513" s="41" t="s">
        <v>3145</v>
      </c>
      <c r="Q513" s="42" t="s">
        <v>1343</v>
      </c>
      <c r="V513" s="43"/>
      <c r="W513" s="45"/>
      <c r="X513" s="45" t="s">
        <v>1069</v>
      </c>
      <c r="Y513" s="45"/>
      <c r="Z513" s="45"/>
      <c r="AA513" s="45" t="s">
        <v>549</v>
      </c>
      <c r="AB513" s="44" t="s">
        <v>767</v>
      </c>
    </row>
    <row r="514" spans="11:28" ht="17.25" customHeight="1" x14ac:dyDescent="0.25">
      <c r="K514" s="40" t="s">
        <v>201</v>
      </c>
      <c r="L514" s="41" t="s">
        <v>2849</v>
      </c>
      <c r="M514" s="41" t="s">
        <v>508</v>
      </c>
      <c r="N514" s="41" t="s">
        <v>3141</v>
      </c>
      <c r="O514" s="41" t="s">
        <v>2369</v>
      </c>
      <c r="P514" s="41" t="s">
        <v>3145</v>
      </c>
      <c r="Q514" s="42" t="s">
        <v>1343</v>
      </c>
      <c r="V514" s="43"/>
      <c r="W514" s="45"/>
      <c r="X514" s="45" t="s">
        <v>1070</v>
      </c>
      <c r="Y514" s="45"/>
      <c r="Z514" s="45"/>
      <c r="AA514" s="45" t="s">
        <v>554</v>
      </c>
      <c r="AB514" s="44" t="s">
        <v>767</v>
      </c>
    </row>
    <row r="515" spans="11:28" ht="17.25" customHeight="1" x14ac:dyDescent="0.25">
      <c r="K515" s="40" t="s">
        <v>202</v>
      </c>
      <c r="L515" s="41" t="s">
        <v>2850</v>
      </c>
      <c r="M515" s="41" t="s">
        <v>509</v>
      </c>
      <c r="N515" s="41" t="s">
        <v>3141</v>
      </c>
      <c r="O515" s="41" t="s">
        <v>2369</v>
      </c>
      <c r="P515" s="41" t="s">
        <v>3145</v>
      </c>
      <c r="Q515" s="42" t="s">
        <v>1343</v>
      </c>
      <c r="V515" s="43"/>
      <c r="W515" s="45"/>
      <c r="X515" s="45" t="s">
        <v>1071</v>
      </c>
      <c r="Y515" s="45"/>
      <c r="Z515" s="45"/>
      <c r="AA515" s="45" t="s">
        <v>713</v>
      </c>
      <c r="AB515" s="44" t="s">
        <v>767</v>
      </c>
    </row>
    <row r="516" spans="11:28" ht="17.25" customHeight="1" x14ac:dyDescent="0.25">
      <c r="K516" s="40" t="s">
        <v>217</v>
      </c>
      <c r="L516" s="41" t="s">
        <v>2851</v>
      </c>
      <c r="M516" s="41" t="s">
        <v>512</v>
      </c>
      <c r="N516" s="41" t="s">
        <v>3141</v>
      </c>
      <c r="O516" s="41" t="s">
        <v>2369</v>
      </c>
      <c r="P516" s="41" t="s">
        <v>3145</v>
      </c>
      <c r="Q516" s="42" t="s">
        <v>1343</v>
      </c>
      <c r="V516" s="43"/>
      <c r="W516" s="45"/>
      <c r="X516" s="45" t="s">
        <v>1072</v>
      </c>
      <c r="Y516" s="45"/>
      <c r="Z516" s="45"/>
      <c r="AA516" s="45" t="s">
        <v>557</v>
      </c>
      <c r="AB516" s="44" t="s">
        <v>767</v>
      </c>
    </row>
    <row r="517" spans="11:28" ht="17.25" customHeight="1" x14ac:dyDescent="0.25">
      <c r="K517" s="40" t="s">
        <v>213</v>
      </c>
      <c r="L517" s="41" t="s">
        <v>2852</v>
      </c>
      <c r="M517" s="41" t="s">
        <v>533</v>
      </c>
      <c r="N517" s="41" t="s">
        <v>3141</v>
      </c>
      <c r="O517" s="41" t="s">
        <v>2369</v>
      </c>
      <c r="P517" s="41" t="s">
        <v>3145</v>
      </c>
      <c r="Q517" s="42" t="s">
        <v>1343</v>
      </c>
      <c r="V517" s="43"/>
      <c r="W517" s="45"/>
      <c r="X517" s="45" t="s">
        <v>1073</v>
      </c>
      <c r="Y517" s="45"/>
      <c r="Z517" s="45"/>
      <c r="AA517" s="45" t="s">
        <v>560</v>
      </c>
      <c r="AB517" s="44" t="s">
        <v>767</v>
      </c>
    </row>
    <row r="518" spans="11:28" ht="17.25" customHeight="1" x14ac:dyDescent="0.25">
      <c r="K518" s="40" t="s">
        <v>210</v>
      </c>
      <c r="L518" s="41" t="s">
        <v>2853</v>
      </c>
      <c r="M518" s="41" t="s">
        <v>530</v>
      </c>
      <c r="N518" s="41" t="s">
        <v>3141</v>
      </c>
      <c r="O518" s="41" t="s">
        <v>2369</v>
      </c>
      <c r="P518" s="41" t="s">
        <v>3145</v>
      </c>
      <c r="Q518" s="42" t="s">
        <v>1343</v>
      </c>
      <c r="V518" s="43"/>
      <c r="W518" s="45"/>
      <c r="X518" s="45" t="s">
        <v>799</v>
      </c>
      <c r="Y518" s="45"/>
      <c r="Z518" s="45"/>
      <c r="AA518" s="45" t="s">
        <v>806</v>
      </c>
      <c r="AB518" s="44" t="s">
        <v>805</v>
      </c>
    </row>
    <row r="519" spans="11:28" ht="17.25" customHeight="1" x14ac:dyDescent="0.25">
      <c r="K519" s="40" t="s">
        <v>147</v>
      </c>
      <c r="L519" s="41" t="s">
        <v>2854</v>
      </c>
      <c r="M519" s="41" t="s">
        <v>512</v>
      </c>
      <c r="N519" s="41" t="s">
        <v>3141</v>
      </c>
      <c r="O519" s="41" t="s">
        <v>2369</v>
      </c>
      <c r="P519" s="41" t="s">
        <v>3145</v>
      </c>
      <c r="Q519" s="42" t="s">
        <v>1343</v>
      </c>
      <c r="V519" s="43"/>
      <c r="W519" s="45"/>
      <c r="X519" s="45" t="s">
        <v>1231</v>
      </c>
      <c r="Y519" s="45"/>
      <c r="Z519" s="45"/>
      <c r="AA519" s="45" t="s">
        <v>508</v>
      </c>
      <c r="AB519" s="44" t="s">
        <v>802</v>
      </c>
    </row>
    <row r="520" spans="11:28" ht="17.25" customHeight="1" thickBot="1" x14ac:dyDescent="0.3">
      <c r="K520" s="40" t="s">
        <v>22</v>
      </c>
      <c r="L520" s="41" t="s">
        <v>2855</v>
      </c>
      <c r="M520" s="41" t="s">
        <v>524</v>
      </c>
      <c r="N520" s="41" t="s">
        <v>3141</v>
      </c>
      <c r="O520" s="41" t="s">
        <v>2369</v>
      </c>
      <c r="P520" s="41" t="s">
        <v>3145</v>
      </c>
      <c r="Q520" s="42" t="s">
        <v>1343</v>
      </c>
      <c r="V520" s="67"/>
      <c r="W520" s="74"/>
      <c r="X520" s="74" t="s">
        <v>1232</v>
      </c>
      <c r="Y520" s="74"/>
      <c r="Z520" s="74"/>
      <c r="AA520" s="74" t="s">
        <v>525</v>
      </c>
      <c r="AB520" s="71" t="s">
        <v>802</v>
      </c>
    </row>
    <row r="521" spans="11:28" ht="17.25" customHeight="1" x14ac:dyDescent="0.25">
      <c r="K521" s="40" t="s">
        <v>214</v>
      </c>
      <c r="L521" s="41" t="s">
        <v>2856</v>
      </c>
      <c r="M521" s="41" t="s">
        <v>533</v>
      </c>
      <c r="N521" s="41" t="s">
        <v>3141</v>
      </c>
      <c r="O521" s="41" t="s">
        <v>2369</v>
      </c>
      <c r="P521" s="41" t="s">
        <v>3145</v>
      </c>
      <c r="Q521" s="42" t="s">
        <v>1343</v>
      </c>
      <c r="V521" s="39">
        <v>2464</v>
      </c>
      <c r="Y521" s="39" t="s">
        <v>3184</v>
      </c>
      <c r="Z521" s="39" t="s">
        <v>76</v>
      </c>
      <c r="AA521" s="39" t="s">
        <v>500</v>
      </c>
      <c r="AB521" s="39" t="s">
        <v>500</v>
      </c>
    </row>
    <row r="522" spans="11:28" ht="17.25" customHeight="1" x14ac:dyDescent="0.25">
      <c r="K522" s="40" t="s">
        <v>268</v>
      </c>
      <c r="L522" s="41" t="s">
        <v>2857</v>
      </c>
      <c r="M522" s="41" t="s">
        <v>509</v>
      </c>
      <c r="N522" s="41" t="s">
        <v>3141</v>
      </c>
      <c r="O522" s="41" t="s">
        <v>2369</v>
      </c>
      <c r="P522" s="41" t="s">
        <v>3145</v>
      </c>
      <c r="Q522" s="42" t="s">
        <v>1343</v>
      </c>
      <c r="V522" s="39">
        <v>2457</v>
      </c>
      <c r="Y522" s="39" t="s">
        <v>3185</v>
      </c>
      <c r="Z522" s="43" t="s">
        <v>584</v>
      </c>
      <c r="AA522" s="39" t="s">
        <v>3186</v>
      </c>
      <c r="AB522" s="44" t="s">
        <v>805</v>
      </c>
    </row>
    <row r="523" spans="11:28" ht="17.25" customHeight="1" x14ac:dyDescent="0.25">
      <c r="K523" s="40" t="s">
        <v>212</v>
      </c>
      <c r="L523" s="41" t="s">
        <v>2858</v>
      </c>
      <c r="M523" s="41" t="s">
        <v>529</v>
      </c>
      <c r="N523" s="41" t="s">
        <v>3141</v>
      </c>
      <c r="O523" s="41" t="s">
        <v>2369</v>
      </c>
      <c r="P523" s="41" t="s">
        <v>3145</v>
      </c>
      <c r="Q523" s="42" t="s">
        <v>1343</v>
      </c>
      <c r="V523" s="39">
        <v>2463</v>
      </c>
      <c r="Y523" s="39" t="s">
        <v>3187</v>
      </c>
      <c r="Z523" s="39" t="s">
        <v>153</v>
      </c>
      <c r="AA523" s="39" t="s">
        <v>500</v>
      </c>
      <c r="AB523" s="39" t="s">
        <v>500</v>
      </c>
    </row>
    <row r="524" spans="11:28" ht="17.25" customHeight="1" x14ac:dyDescent="0.25">
      <c r="K524" s="40" t="s">
        <v>270</v>
      </c>
      <c r="L524" s="41" t="s">
        <v>2859</v>
      </c>
      <c r="M524" s="41" t="s">
        <v>508</v>
      </c>
      <c r="N524" s="41" t="s">
        <v>3141</v>
      </c>
      <c r="O524" s="41" t="s">
        <v>2369</v>
      </c>
      <c r="P524" s="41" t="s">
        <v>3145</v>
      </c>
      <c r="Q524" s="42" t="s">
        <v>1343</v>
      </c>
      <c r="V524" s="39">
        <v>2468</v>
      </c>
      <c r="Y524" s="39" t="s">
        <v>3203</v>
      </c>
      <c r="Z524" s="39" t="s">
        <v>664</v>
      </c>
      <c r="AA524" s="39" t="s">
        <v>524</v>
      </c>
      <c r="AB524" s="44" t="s">
        <v>802</v>
      </c>
    </row>
    <row r="525" spans="11:28" ht="17.25" customHeight="1" x14ac:dyDescent="0.25">
      <c r="K525" s="40" t="s">
        <v>19</v>
      </c>
      <c r="L525" s="41" t="s">
        <v>2860</v>
      </c>
      <c r="M525" s="41" t="s">
        <v>508</v>
      </c>
      <c r="N525" s="41" t="s">
        <v>3141</v>
      </c>
      <c r="O525" s="41" t="s">
        <v>2369</v>
      </c>
      <c r="P525" s="41" t="s">
        <v>3145</v>
      </c>
      <c r="Q525" s="42" t="s">
        <v>1343</v>
      </c>
      <c r="V525" s="39">
        <v>2469</v>
      </c>
      <c r="Y525" s="39" t="s">
        <v>3204</v>
      </c>
      <c r="Z525" s="39" t="s">
        <v>462</v>
      </c>
      <c r="AA525" s="39" t="s">
        <v>524</v>
      </c>
      <c r="AB525" s="44" t="s">
        <v>802</v>
      </c>
    </row>
    <row r="526" spans="11:28" ht="17.25" customHeight="1" thickBot="1" x14ac:dyDescent="0.3">
      <c r="K526" s="40" t="s">
        <v>1325</v>
      </c>
      <c r="L526" s="41" t="s">
        <v>2861</v>
      </c>
      <c r="M526" s="41" t="s">
        <v>525</v>
      </c>
      <c r="N526" s="41" t="s">
        <v>3141</v>
      </c>
      <c r="O526" s="41" t="s">
        <v>2369</v>
      </c>
      <c r="P526" s="41" t="s">
        <v>3152</v>
      </c>
      <c r="Q526" s="42" t="s">
        <v>1343</v>
      </c>
      <c r="V526" s="39">
        <v>2465</v>
      </c>
      <c r="Y526" s="39" t="s">
        <v>3206</v>
      </c>
      <c r="Z526" s="39" t="s">
        <v>687</v>
      </c>
      <c r="AA526" s="39" t="s">
        <v>525</v>
      </c>
      <c r="AB526" s="71" t="s">
        <v>802</v>
      </c>
    </row>
    <row r="527" spans="11:28" ht="17.25" customHeight="1" thickBot="1" x14ac:dyDescent="0.3">
      <c r="K527" s="40" t="s">
        <v>3360</v>
      </c>
      <c r="L527" s="41" t="s">
        <v>3375</v>
      </c>
      <c r="M527" s="41" t="s">
        <v>532</v>
      </c>
      <c r="N527" s="41" t="s">
        <v>3141</v>
      </c>
      <c r="O527" s="41" t="s">
        <v>2369</v>
      </c>
      <c r="P527" s="41" t="s">
        <v>3145</v>
      </c>
      <c r="Q527" s="42" t="s">
        <v>1343</v>
      </c>
      <c r="V527" s="39">
        <v>2466</v>
      </c>
      <c r="Y527" s="39" t="s">
        <v>3207</v>
      </c>
      <c r="Z527" s="39" t="s">
        <v>223</v>
      </c>
      <c r="AA527" s="39" t="s">
        <v>508</v>
      </c>
      <c r="AB527" s="71" t="s">
        <v>802</v>
      </c>
    </row>
    <row r="528" spans="11:28" ht="17.25" customHeight="1" thickBot="1" x14ac:dyDescent="0.3">
      <c r="K528" s="40" t="s">
        <v>102</v>
      </c>
      <c r="L528" s="41" t="s">
        <v>2862</v>
      </c>
      <c r="M528" s="41" t="s">
        <v>531</v>
      </c>
      <c r="N528" s="41" t="s">
        <v>3141</v>
      </c>
      <c r="O528" s="41" t="s">
        <v>2369</v>
      </c>
      <c r="P528" s="41" t="s">
        <v>3145</v>
      </c>
      <c r="Q528" s="42" t="s">
        <v>1343</v>
      </c>
      <c r="V528" s="39">
        <v>2467</v>
      </c>
      <c r="Y528" s="39" t="s">
        <v>3208</v>
      </c>
      <c r="Z528" s="39" t="s">
        <v>578</v>
      </c>
      <c r="AA528" s="39" t="s">
        <v>508</v>
      </c>
      <c r="AB528" s="71" t="s">
        <v>802</v>
      </c>
    </row>
    <row r="529" spans="11:28" ht="17.25" customHeight="1" thickBot="1" x14ac:dyDescent="0.3">
      <c r="K529" s="40" t="s">
        <v>1326</v>
      </c>
      <c r="L529" s="41" t="s">
        <v>2863</v>
      </c>
      <c r="M529" s="41" t="s">
        <v>524</v>
      </c>
      <c r="N529" s="41" t="s">
        <v>3141</v>
      </c>
      <c r="O529" s="41" t="s">
        <v>2369</v>
      </c>
      <c r="P529" s="41" t="s">
        <v>3145</v>
      </c>
      <c r="Q529" s="42" t="s">
        <v>1343</v>
      </c>
      <c r="V529" s="39">
        <v>2474</v>
      </c>
      <c r="Y529" s="39" t="s">
        <v>3210</v>
      </c>
      <c r="Z529" s="39" t="s">
        <v>379</v>
      </c>
      <c r="AA529" s="39" t="s">
        <v>540</v>
      </c>
      <c r="AB529" s="71" t="s">
        <v>767</v>
      </c>
    </row>
    <row r="530" spans="11:28" ht="17.25" customHeight="1" x14ac:dyDescent="0.25">
      <c r="K530" s="40" t="s">
        <v>1327</v>
      </c>
      <c r="L530" s="41" t="s">
        <v>2864</v>
      </c>
      <c r="M530" s="41" t="s">
        <v>509</v>
      </c>
      <c r="N530" s="41" t="s">
        <v>3141</v>
      </c>
      <c r="O530" s="41" t="s">
        <v>2369</v>
      </c>
      <c r="P530" s="41" t="s">
        <v>3145</v>
      </c>
      <c r="Q530" s="42" t="s">
        <v>1343</v>
      </c>
      <c r="V530" s="39">
        <v>2473</v>
      </c>
      <c r="Y530" s="39" t="s">
        <v>3211</v>
      </c>
      <c r="Z530" s="45" t="s">
        <v>2339</v>
      </c>
      <c r="AA530" s="45" t="s">
        <v>713</v>
      </c>
      <c r="AB530" s="44" t="s">
        <v>1341</v>
      </c>
    </row>
    <row r="531" spans="11:28" ht="17.25" customHeight="1" x14ac:dyDescent="0.25">
      <c r="K531" s="40" t="s">
        <v>241</v>
      </c>
      <c r="L531" s="41" t="s">
        <v>2865</v>
      </c>
      <c r="M531" s="41" t="s">
        <v>532</v>
      </c>
      <c r="N531" s="41" t="s">
        <v>3139</v>
      </c>
      <c r="O531" s="41" t="s">
        <v>2369</v>
      </c>
      <c r="P531" s="41" t="s">
        <v>3145</v>
      </c>
      <c r="Q531" s="42" t="s">
        <v>1343</v>
      </c>
      <c r="V531" s="39">
        <v>2482</v>
      </c>
      <c r="Y531" s="39" t="s">
        <v>3215</v>
      </c>
      <c r="Z531" s="39" t="s">
        <v>49</v>
      </c>
      <c r="AA531" s="39" t="s">
        <v>500</v>
      </c>
      <c r="AB531" s="39" t="s">
        <v>500</v>
      </c>
    </row>
    <row r="532" spans="11:28" ht="17.25" customHeight="1" x14ac:dyDescent="0.25">
      <c r="K532" s="40" t="s">
        <v>207</v>
      </c>
      <c r="L532" s="41" t="s">
        <v>2846</v>
      </c>
      <c r="M532" s="41" t="s">
        <v>532</v>
      </c>
      <c r="N532" s="41" t="s">
        <v>3141</v>
      </c>
      <c r="O532" s="41" t="s">
        <v>2369</v>
      </c>
      <c r="P532" s="41" t="s">
        <v>3145</v>
      </c>
      <c r="Q532" s="42" t="s">
        <v>1343</v>
      </c>
      <c r="V532" s="39">
        <v>2478</v>
      </c>
      <c r="Y532" s="39" t="s">
        <v>3216</v>
      </c>
      <c r="Z532" s="40" t="s">
        <v>158</v>
      </c>
      <c r="AA532" s="39" t="s">
        <v>544</v>
      </c>
      <c r="AB532" s="44" t="s">
        <v>1341</v>
      </c>
    </row>
    <row r="533" spans="11:28" ht="17.25" customHeight="1" x14ac:dyDescent="0.25">
      <c r="K533" s="40" t="s">
        <v>208</v>
      </c>
      <c r="L533" s="41" t="s">
        <v>2843</v>
      </c>
      <c r="M533" s="41" t="s">
        <v>532</v>
      </c>
      <c r="N533" s="41" t="s">
        <v>3141</v>
      </c>
      <c r="O533" s="41" t="s">
        <v>2369</v>
      </c>
      <c r="P533" s="41" t="s">
        <v>3145</v>
      </c>
      <c r="Q533" s="42" t="s">
        <v>1343</v>
      </c>
      <c r="V533" s="39">
        <v>2477</v>
      </c>
      <c r="Y533" s="39" t="s">
        <v>3231</v>
      </c>
      <c r="Z533" s="40" t="s">
        <v>75</v>
      </c>
      <c r="AA533" s="39" t="s">
        <v>557</v>
      </c>
      <c r="AB533" s="44" t="s">
        <v>1341</v>
      </c>
    </row>
    <row r="534" spans="11:28" ht="17.25" customHeight="1" thickBot="1" x14ac:dyDescent="0.3">
      <c r="K534" s="40" t="s">
        <v>699</v>
      </c>
      <c r="L534" s="41" t="s">
        <v>2866</v>
      </c>
      <c r="M534" s="41" t="s">
        <v>525</v>
      </c>
      <c r="N534" s="41" t="s">
        <v>3141</v>
      </c>
      <c r="O534" s="41" t="s">
        <v>2369</v>
      </c>
      <c r="P534" s="41" t="s">
        <v>3152</v>
      </c>
      <c r="Q534" s="42" t="s">
        <v>1343</v>
      </c>
      <c r="V534" s="39">
        <v>2479</v>
      </c>
      <c r="Y534" s="39" t="s">
        <v>3222</v>
      </c>
      <c r="Z534" s="40" t="s">
        <v>297</v>
      </c>
      <c r="AA534" s="39" t="s">
        <v>518</v>
      </c>
      <c r="AB534" s="71" t="s">
        <v>802</v>
      </c>
    </row>
    <row r="535" spans="11:28" ht="17.25" customHeight="1" x14ac:dyDescent="0.25">
      <c r="K535" s="40" t="s">
        <v>294</v>
      </c>
      <c r="L535" s="41" t="s">
        <v>2867</v>
      </c>
      <c r="M535" s="41" t="s">
        <v>530</v>
      </c>
      <c r="N535" s="41" t="s">
        <v>3141</v>
      </c>
      <c r="O535" s="41" t="s">
        <v>2369</v>
      </c>
      <c r="P535" s="41" t="s">
        <v>3145</v>
      </c>
      <c r="Q535" s="42" t="s">
        <v>1343</v>
      </c>
      <c r="V535" s="39">
        <v>2472</v>
      </c>
      <c r="Y535" s="39" t="s">
        <v>3223</v>
      </c>
      <c r="Z535" s="39" t="s">
        <v>152</v>
      </c>
      <c r="AA535" s="39" t="s">
        <v>500</v>
      </c>
      <c r="AB535" s="39" t="s">
        <v>500</v>
      </c>
    </row>
    <row r="536" spans="11:28" ht="17.25" customHeight="1" thickBot="1" x14ac:dyDescent="0.3">
      <c r="K536" s="40" t="s">
        <v>3362</v>
      </c>
      <c r="L536" s="41" t="s">
        <v>3389</v>
      </c>
      <c r="M536" s="41" t="s">
        <v>533</v>
      </c>
      <c r="N536" s="41" t="s">
        <v>3141</v>
      </c>
      <c r="O536" s="41" t="s">
        <v>2369</v>
      </c>
      <c r="P536" s="41" t="s">
        <v>3145</v>
      </c>
      <c r="Q536" s="42" t="s">
        <v>1343</v>
      </c>
      <c r="V536" s="39">
        <v>2483</v>
      </c>
      <c r="Y536" s="39" t="s">
        <v>3226</v>
      </c>
      <c r="Z536" s="39" t="s">
        <v>743</v>
      </c>
      <c r="AA536" s="39" t="s">
        <v>518</v>
      </c>
      <c r="AB536" s="71" t="s">
        <v>802</v>
      </c>
    </row>
    <row r="537" spans="11:28" ht="17.25" customHeight="1" x14ac:dyDescent="0.25">
      <c r="K537" s="40" t="s">
        <v>293</v>
      </c>
      <c r="L537" s="41" t="s">
        <v>2869</v>
      </c>
      <c r="M537" s="41" t="s">
        <v>533</v>
      </c>
      <c r="N537" s="41" t="s">
        <v>3141</v>
      </c>
      <c r="O537" s="41" t="s">
        <v>2369</v>
      </c>
      <c r="P537" s="41" t="s">
        <v>3145</v>
      </c>
      <c r="Q537" s="42" t="s">
        <v>1343</v>
      </c>
      <c r="V537" s="39">
        <v>2470</v>
      </c>
      <c r="Y537" s="39" t="s">
        <v>3227</v>
      </c>
      <c r="Z537" s="40" t="s">
        <v>445</v>
      </c>
      <c r="AA537" s="39" t="s">
        <v>524</v>
      </c>
      <c r="AB537" s="42" t="s">
        <v>1343</v>
      </c>
    </row>
    <row r="538" spans="11:28" ht="17.25" customHeight="1" x14ac:dyDescent="0.25">
      <c r="K538" s="40" t="s">
        <v>256</v>
      </c>
      <c r="L538" s="41" t="s">
        <v>2870</v>
      </c>
      <c r="M538" s="41" t="s">
        <v>521</v>
      </c>
      <c r="N538" s="41" t="s">
        <v>3139</v>
      </c>
      <c r="O538" s="41" t="s">
        <v>2369</v>
      </c>
      <c r="P538" s="41" t="s">
        <v>3145</v>
      </c>
      <c r="Q538" s="42" t="s">
        <v>1343</v>
      </c>
      <c r="V538" s="39">
        <v>2458</v>
      </c>
      <c r="Y538" s="39" t="s">
        <v>3229</v>
      </c>
      <c r="Z538" s="40" t="s">
        <v>720</v>
      </c>
      <c r="AA538" s="39" t="s">
        <v>3186</v>
      </c>
      <c r="AB538" s="42" t="s">
        <v>1342</v>
      </c>
    </row>
    <row r="539" spans="11:28" ht="17.25" customHeight="1" x14ac:dyDescent="0.25">
      <c r="K539" s="40" t="s">
        <v>228</v>
      </c>
      <c r="L539" s="41" t="s">
        <v>2871</v>
      </c>
      <c r="M539" s="41" t="s">
        <v>521</v>
      </c>
      <c r="N539" s="41" t="s">
        <v>3139</v>
      </c>
      <c r="O539" s="41" t="s">
        <v>2369</v>
      </c>
      <c r="P539" s="41" t="s">
        <v>3145</v>
      </c>
      <c r="Q539" s="42" t="s">
        <v>1343</v>
      </c>
      <c r="V539" s="39">
        <v>2481</v>
      </c>
      <c r="Y539" s="39" t="s">
        <v>3233</v>
      </c>
      <c r="Z539" s="40" t="s">
        <v>49</v>
      </c>
      <c r="AA539" s="39" t="s">
        <v>2412</v>
      </c>
      <c r="AB539" s="39" t="s">
        <v>500</v>
      </c>
    </row>
    <row r="540" spans="11:28" ht="17.25" customHeight="1" thickBot="1" x14ac:dyDescent="0.3">
      <c r="K540" s="40" t="s">
        <v>260</v>
      </c>
      <c r="L540" s="41" t="s">
        <v>2872</v>
      </c>
      <c r="M540" s="41" t="s">
        <v>517</v>
      </c>
      <c r="N540" s="41" t="s">
        <v>3141</v>
      </c>
      <c r="O540" s="41" t="s">
        <v>2369</v>
      </c>
      <c r="P540" s="41" t="s">
        <v>3145</v>
      </c>
      <c r="Q540" s="42" t="s">
        <v>1343</v>
      </c>
      <c r="V540" s="39">
        <v>2484</v>
      </c>
      <c r="Y540" s="39" t="s">
        <v>3234</v>
      </c>
      <c r="Z540" s="40" t="s">
        <v>209</v>
      </c>
      <c r="AA540" s="39" t="s">
        <v>518</v>
      </c>
      <c r="AB540" s="71" t="s">
        <v>802</v>
      </c>
    </row>
    <row r="541" spans="11:28" ht="17.25" customHeight="1" x14ac:dyDescent="0.25">
      <c r="K541" s="40" t="s">
        <v>231</v>
      </c>
      <c r="L541" s="41" t="s">
        <v>2873</v>
      </c>
      <c r="M541" s="41" t="s">
        <v>518</v>
      </c>
      <c r="N541" s="41" t="s">
        <v>3141</v>
      </c>
      <c r="O541" s="41" t="s">
        <v>2369</v>
      </c>
      <c r="P541" s="41" t="s">
        <v>3145</v>
      </c>
      <c r="Q541" s="42" t="s">
        <v>1343</v>
      </c>
      <c r="V541" s="39">
        <v>2486</v>
      </c>
      <c r="Y541" s="39" t="s">
        <v>3238</v>
      </c>
      <c r="Z541" s="45" t="s">
        <v>115</v>
      </c>
      <c r="AA541" s="39" t="s">
        <v>507</v>
      </c>
      <c r="AB541" s="44" t="s">
        <v>15</v>
      </c>
    </row>
    <row r="542" spans="11:28" ht="17.25" customHeight="1" x14ac:dyDescent="0.25">
      <c r="K542" s="40" t="s">
        <v>259</v>
      </c>
      <c r="L542" s="41" t="s">
        <v>2874</v>
      </c>
      <c r="M542" s="41" t="s">
        <v>517</v>
      </c>
      <c r="N542" s="41" t="s">
        <v>3141</v>
      </c>
      <c r="O542" s="41" t="s">
        <v>2369</v>
      </c>
      <c r="P542" s="41" t="s">
        <v>3145</v>
      </c>
      <c r="Q542" s="42" t="s">
        <v>1343</v>
      </c>
      <c r="V542" s="39">
        <v>2485</v>
      </c>
      <c r="Y542" s="39" t="s">
        <v>3239</v>
      </c>
      <c r="Z542" s="45" t="s">
        <v>115</v>
      </c>
      <c r="AA542" s="39" t="s">
        <v>507</v>
      </c>
      <c r="AB542" s="44" t="s">
        <v>15</v>
      </c>
    </row>
    <row r="543" spans="11:28" ht="17.25" customHeight="1" x14ac:dyDescent="0.25">
      <c r="K543" s="40" t="s">
        <v>276</v>
      </c>
      <c r="L543" s="41" t="s">
        <v>2875</v>
      </c>
      <c r="M543" s="41" t="s">
        <v>519</v>
      </c>
      <c r="N543" s="41" t="s">
        <v>3141</v>
      </c>
      <c r="O543" s="41" t="s">
        <v>2369</v>
      </c>
      <c r="P543" s="41" t="s">
        <v>3145</v>
      </c>
      <c r="Q543" s="42" t="s">
        <v>1343</v>
      </c>
      <c r="V543" s="39">
        <v>2495</v>
      </c>
      <c r="Y543" s="39" t="s">
        <v>3241</v>
      </c>
      <c r="Z543" s="45" t="s">
        <v>36</v>
      </c>
      <c r="AA543" s="45" t="s">
        <v>550</v>
      </c>
      <c r="AB543" s="44" t="s">
        <v>1341</v>
      </c>
    </row>
    <row r="544" spans="11:28" ht="17.25" customHeight="1" x14ac:dyDescent="0.25">
      <c r="K544" s="40" t="s">
        <v>245</v>
      </c>
      <c r="L544" s="41" t="s">
        <v>2876</v>
      </c>
      <c r="M544" s="41" t="s">
        <v>525</v>
      </c>
      <c r="N544" s="41" t="s">
        <v>3141</v>
      </c>
      <c r="O544" s="41" t="s">
        <v>2369</v>
      </c>
      <c r="P544" s="41" t="s">
        <v>3152</v>
      </c>
      <c r="Q544" s="42" t="s">
        <v>1343</v>
      </c>
      <c r="V544" s="39">
        <v>2487</v>
      </c>
      <c r="Y544" s="39" t="s">
        <v>3244</v>
      </c>
      <c r="Z544" s="45" t="s">
        <v>117</v>
      </c>
      <c r="AA544" s="39" t="s">
        <v>507</v>
      </c>
      <c r="AB544" s="44" t="s">
        <v>15</v>
      </c>
    </row>
    <row r="545" spans="11:28" ht="17.25" customHeight="1" x14ac:dyDescent="0.25">
      <c r="K545" s="40" t="s">
        <v>261</v>
      </c>
      <c r="L545" s="41" t="s">
        <v>2877</v>
      </c>
      <c r="M545" s="41" t="s">
        <v>523</v>
      </c>
      <c r="N545" s="41" t="s">
        <v>3141</v>
      </c>
      <c r="O545" s="41" t="s">
        <v>2369</v>
      </c>
      <c r="P545" s="41" t="s">
        <v>3145</v>
      </c>
      <c r="Q545" s="42" t="s">
        <v>1343</v>
      </c>
      <c r="V545" s="39">
        <v>2490</v>
      </c>
      <c r="Y545" s="39" t="s">
        <v>3248</v>
      </c>
      <c r="Z545" s="39" t="s">
        <v>27</v>
      </c>
      <c r="AA545" s="39" t="s">
        <v>500</v>
      </c>
      <c r="AB545" s="39" t="s">
        <v>500</v>
      </c>
    </row>
    <row r="546" spans="11:28" ht="17.25" customHeight="1" x14ac:dyDescent="0.25">
      <c r="K546" s="40" t="s">
        <v>248</v>
      </c>
      <c r="L546" s="41" t="s">
        <v>2878</v>
      </c>
      <c r="M546" s="41" t="s">
        <v>530</v>
      </c>
      <c r="N546" s="41" t="s">
        <v>3141</v>
      </c>
      <c r="O546" s="41" t="s">
        <v>2369</v>
      </c>
      <c r="P546" s="41" t="s">
        <v>3145</v>
      </c>
      <c r="Q546" s="42" t="s">
        <v>1343</v>
      </c>
      <c r="V546" s="39">
        <v>2496</v>
      </c>
      <c r="Y546" s="39" t="s">
        <v>3249</v>
      </c>
      <c r="Z546" s="40" t="s">
        <v>169</v>
      </c>
      <c r="AA546" s="45" t="s">
        <v>550</v>
      </c>
      <c r="AB546" s="44" t="s">
        <v>1341</v>
      </c>
    </row>
    <row r="547" spans="11:28" ht="17.25" customHeight="1" x14ac:dyDescent="0.25">
      <c r="K547" s="40" t="s">
        <v>156</v>
      </c>
      <c r="L547" s="41" t="s">
        <v>2879</v>
      </c>
      <c r="M547" s="41" t="s">
        <v>526</v>
      </c>
      <c r="N547" s="41" t="s">
        <v>3141</v>
      </c>
      <c r="O547" s="41" t="s">
        <v>2369</v>
      </c>
      <c r="P547" s="41" t="s">
        <v>3145</v>
      </c>
      <c r="Q547" s="42" t="s">
        <v>1343</v>
      </c>
      <c r="V547" s="39">
        <v>2498</v>
      </c>
      <c r="Y547" s="39" t="s">
        <v>3250</v>
      </c>
      <c r="Z547" s="40" t="s">
        <v>384</v>
      </c>
      <c r="AA547" s="39" t="s">
        <v>553</v>
      </c>
      <c r="AB547" s="42" t="s">
        <v>1342</v>
      </c>
    </row>
    <row r="548" spans="11:28" ht="17.25" customHeight="1" x14ac:dyDescent="0.25">
      <c r="K548" s="40" t="s">
        <v>701</v>
      </c>
      <c r="L548" s="41" t="s">
        <v>2880</v>
      </c>
      <c r="M548" s="41" t="s">
        <v>1322</v>
      </c>
      <c r="N548" s="41" t="s">
        <v>3141</v>
      </c>
      <c r="O548" s="41" t="s">
        <v>2369</v>
      </c>
      <c r="P548" s="41" t="s">
        <v>3145</v>
      </c>
      <c r="Q548" s="42" t="s">
        <v>1343</v>
      </c>
      <c r="V548" s="39">
        <v>2480</v>
      </c>
      <c r="Y548" s="39" t="s">
        <v>3251</v>
      </c>
      <c r="Z548" s="39" t="s">
        <v>49</v>
      </c>
      <c r="AA548" s="39" t="s">
        <v>500</v>
      </c>
      <c r="AB548" s="39" t="s">
        <v>500</v>
      </c>
    </row>
    <row r="549" spans="11:28" ht="17.25" customHeight="1" thickBot="1" x14ac:dyDescent="0.3">
      <c r="K549" s="40" t="s">
        <v>227</v>
      </c>
      <c r="L549" s="41" t="s">
        <v>2881</v>
      </c>
      <c r="M549" s="41" t="s">
        <v>517</v>
      </c>
      <c r="N549" s="41" t="s">
        <v>3141</v>
      </c>
      <c r="O549" s="41" t="s">
        <v>2369</v>
      </c>
      <c r="P549" s="41" t="s">
        <v>3145</v>
      </c>
      <c r="Q549" s="42" t="s">
        <v>1343</v>
      </c>
      <c r="V549" s="39">
        <v>2500</v>
      </c>
      <c r="Y549" s="39" t="s">
        <v>3303</v>
      </c>
      <c r="Z549" s="40" t="s">
        <v>20</v>
      </c>
      <c r="AA549" s="39" t="s">
        <v>508</v>
      </c>
      <c r="AB549" s="71" t="s">
        <v>802</v>
      </c>
    </row>
    <row r="550" spans="11:28" ht="17.25" customHeight="1" x14ac:dyDescent="0.25">
      <c r="K550" s="40" t="s">
        <v>279</v>
      </c>
      <c r="L550" s="41" t="s">
        <v>2882</v>
      </c>
      <c r="M550" s="41" t="s">
        <v>517</v>
      </c>
      <c r="N550" s="41" t="s">
        <v>3141</v>
      </c>
      <c r="O550" s="41" t="s">
        <v>2369</v>
      </c>
      <c r="P550" s="41" t="s">
        <v>3145</v>
      </c>
      <c r="Q550" s="42" t="s">
        <v>1343</v>
      </c>
      <c r="V550" s="39">
        <v>2512</v>
      </c>
      <c r="Y550" s="39" t="s">
        <v>3252</v>
      </c>
      <c r="Z550" s="40" t="s">
        <v>123</v>
      </c>
      <c r="AA550" s="41" t="s">
        <v>2457</v>
      </c>
      <c r="AB550" s="41" t="s">
        <v>507</v>
      </c>
    </row>
    <row r="551" spans="11:28" ht="17.25" customHeight="1" x14ac:dyDescent="0.25">
      <c r="K551" s="40" t="s">
        <v>454</v>
      </c>
      <c r="L551" s="41" t="s">
        <v>2883</v>
      </c>
      <c r="M551" s="41" t="s">
        <v>523</v>
      </c>
      <c r="N551" s="41" t="s">
        <v>3141</v>
      </c>
      <c r="O551" s="41" t="s">
        <v>2369</v>
      </c>
      <c r="P551" s="41" t="s">
        <v>3145</v>
      </c>
      <c r="Q551" s="42" t="s">
        <v>1343</v>
      </c>
      <c r="V551" s="39">
        <v>2508</v>
      </c>
      <c r="Y551" s="39" t="s">
        <v>3253</v>
      </c>
      <c r="Z551" s="40" t="s">
        <v>124</v>
      </c>
      <c r="AA551" s="41" t="s">
        <v>2453</v>
      </c>
      <c r="AB551" s="41" t="s">
        <v>507</v>
      </c>
    </row>
    <row r="552" spans="11:28" ht="17.25" customHeight="1" x14ac:dyDescent="0.25">
      <c r="K552" s="40" t="s">
        <v>258</v>
      </c>
      <c r="L552" s="41" t="s">
        <v>2884</v>
      </c>
      <c r="M552" s="41" t="s">
        <v>512</v>
      </c>
      <c r="N552" s="41" t="s">
        <v>3141</v>
      </c>
      <c r="O552" s="41" t="s">
        <v>2369</v>
      </c>
      <c r="P552" s="41" t="s">
        <v>3145</v>
      </c>
      <c r="Q552" s="42" t="s">
        <v>1343</v>
      </c>
      <c r="V552" s="39">
        <v>2513</v>
      </c>
      <c r="Y552" s="39" t="s">
        <v>3254</v>
      </c>
      <c r="Z552" s="40" t="s">
        <v>123</v>
      </c>
      <c r="AA552" s="41" t="s">
        <v>2457</v>
      </c>
      <c r="AB552" s="41" t="s">
        <v>507</v>
      </c>
    </row>
    <row r="553" spans="11:28" ht="17.25" customHeight="1" x14ac:dyDescent="0.25">
      <c r="K553" s="40" t="s">
        <v>219</v>
      </c>
      <c r="L553" s="41" t="s">
        <v>2885</v>
      </c>
      <c r="M553" s="41" t="s">
        <v>524</v>
      </c>
      <c r="N553" s="41" t="s">
        <v>3141</v>
      </c>
      <c r="O553" s="41" t="s">
        <v>2369</v>
      </c>
      <c r="P553" s="41" t="s">
        <v>3145</v>
      </c>
      <c r="Q553" s="42" t="s">
        <v>1343</v>
      </c>
      <c r="V553" s="39">
        <v>2514</v>
      </c>
      <c r="Y553" s="39" t="s">
        <v>3255</v>
      </c>
      <c r="Z553" s="40" t="s">
        <v>131</v>
      </c>
      <c r="AA553" s="41" t="s">
        <v>2454</v>
      </c>
      <c r="AB553" s="41" t="s">
        <v>507</v>
      </c>
    </row>
    <row r="554" spans="11:28" ht="17.25" customHeight="1" x14ac:dyDescent="0.25">
      <c r="K554" s="40" t="s">
        <v>323</v>
      </c>
      <c r="L554" s="41" t="s">
        <v>2886</v>
      </c>
      <c r="M554" s="41" t="s">
        <v>535</v>
      </c>
      <c r="N554" s="41" t="s">
        <v>3141</v>
      </c>
      <c r="O554" s="41" t="s">
        <v>2369</v>
      </c>
      <c r="P554" s="41" t="s">
        <v>3145</v>
      </c>
      <c r="Q554" s="42" t="s">
        <v>1343</v>
      </c>
      <c r="V554" s="39">
        <v>2516</v>
      </c>
      <c r="Y554" s="39" t="s">
        <v>3256</v>
      </c>
      <c r="Z554" s="40" t="s">
        <v>129</v>
      </c>
      <c r="AA554" s="41" t="s">
        <v>2458</v>
      </c>
      <c r="AB554" s="41" t="s">
        <v>507</v>
      </c>
    </row>
    <row r="555" spans="11:28" ht="17.25" customHeight="1" x14ac:dyDescent="0.25">
      <c r="K555" s="40" t="s">
        <v>447</v>
      </c>
      <c r="L555" s="41" t="s">
        <v>2887</v>
      </c>
      <c r="M555" s="41" t="s">
        <v>532</v>
      </c>
      <c r="N555" s="41" t="s">
        <v>3141</v>
      </c>
      <c r="O555" s="41" t="s">
        <v>2369</v>
      </c>
      <c r="P555" s="41" t="s">
        <v>3145</v>
      </c>
      <c r="Q555" s="42" t="s">
        <v>1343</v>
      </c>
      <c r="V555" s="39">
        <v>2510</v>
      </c>
      <c r="Y555" s="39" t="s">
        <v>3257</v>
      </c>
      <c r="Z555" s="40" t="s">
        <v>131</v>
      </c>
      <c r="AA555" s="41" t="s">
        <v>2454</v>
      </c>
      <c r="AB555" s="41" t="s">
        <v>507</v>
      </c>
    </row>
    <row r="556" spans="11:28" ht="17.25" customHeight="1" x14ac:dyDescent="0.25">
      <c r="K556" s="40" t="s">
        <v>729</v>
      </c>
      <c r="L556" s="41" t="s">
        <v>2888</v>
      </c>
      <c r="M556" s="41" t="s">
        <v>1322</v>
      </c>
      <c r="N556" s="41" t="s">
        <v>3141</v>
      </c>
      <c r="O556" s="41" t="s">
        <v>2369</v>
      </c>
      <c r="P556" s="41" t="s">
        <v>3145</v>
      </c>
      <c r="Q556" s="42" t="s">
        <v>1343</v>
      </c>
      <c r="V556" s="39">
        <v>2511</v>
      </c>
      <c r="Y556" s="39" t="s">
        <v>3258</v>
      </c>
      <c r="Z556" s="40" t="s">
        <v>131</v>
      </c>
      <c r="AA556" s="41" t="s">
        <v>2454</v>
      </c>
      <c r="AB556" s="41" t="s">
        <v>507</v>
      </c>
    </row>
    <row r="557" spans="11:28" ht="17.25" customHeight="1" x14ac:dyDescent="0.25">
      <c r="K557" s="40" t="s">
        <v>462</v>
      </c>
      <c r="L557" s="41" t="s">
        <v>2889</v>
      </c>
      <c r="M557" s="41" t="s">
        <v>524</v>
      </c>
      <c r="N557" s="41" t="s">
        <v>3141</v>
      </c>
      <c r="O557" s="41" t="s">
        <v>2369</v>
      </c>
      <c r="P557" s="41" t="s">
        <v>3145</v>
      </c>
      <c r="Q557" s="42" t="s">
        <v>1343</v>
      </c>
      <c r="V557" s="39">
        <v>2509</v>
      </c>
      <c r="Y557" s="39" t="s">
        <v>3259</v>
      </c>
      <c r="Z557" s="40" t="s">
        <v>100</v>
      </c>
      <c r="AA557" s="41" t="s">
        <v>2800</v>
      </c>
      <c r="AB557" s="41" t="s">
        <v>535</v>
      </c>
    </row>
    <row r="558" spans="11:28" ht="17.25" customHeight="1" x14ac:dyDescent="0.25">
      <c r="K558" s="40" t="s">
        <v>697</v>
      </c>
      <c r="L558" s="41" t="s">
        <v>2890</v>
      </c>
      <c r="M558" s="41" t="s">
        <v>533</v>
      </c>
      <c r="N558" s="41" t="s">
        <v>3141</v>
      </c>
      <c r="O558" s="41" t="s">
        <v>2369</v>
      </c>
      <c r="P558" s="41" t="s">
        <v>3145</v>
      </c>
      <c r="Q558" s="42" t="s">
        <v>1343</v>
      </c>
      <c r="V558" s="39">
        <v>2505</v>
      </c>
      <c r="Y558" s="39" t="s">
        <v>3260</v>
      </c>
      <c r="Z558" s="40" t="s">
        <v>1318</v>
      </c>
      <c r="AA558" s="41" t="s">
        <v>2615</v>
      </c>
      <c r="AB558" s="41" t="s">
        <v>546</v>
      </c>
    </row>
    <row r="559" spans="11:28" ht="17.25" customHeight="1" x14ac:dyDescent="0.25">
      <c r="K559" s="40" t="s">
        <v>637</v>
      </c>
      <c r="L559" s="41" t="s">
        <v>2891</v>
      </c>
      <c r="M559" s="41" t="s">
        <v>523</v>
      </c>
      <c r="N559" s="41" t="s">
        <v>3139</v>
      </c>
      <c r="O559" s="41" t="s">
        <v>2369</v>
      </c>
      <c r="P559" s="41" t="s">
        <v>3145</v>
      </c>
      <c r="Q559" s="42" t="s">
        <v>1343</v>
      </c>
      <c r="V559" s="39">
        <v>2528</v>
      </c>
      <c r="Y559" s="39" t="s">
        <v>3261</v>
      </c>
      <c r="Z559" s="40" t="s">
        <v>58</v>
      </c>
      <c r="AA559" s="41" t="s">
        <v>2510</v>
      </c>
      <c r="AB559" s="41" t="s">
        <v>502</v>
      </c>
    </row>
    <row r="560" spans="11:28" ht="17.25" customHeight="1" x14ac:dyDescent="0.25">
      <c r="K560" s="40" t="s">
        <v>648</v>
      </c>
      <c r="L560" s="41" t="s">
        <v>2892</v>
      </c>
      <c r="M560" s="41" t="s">
        <v>525</v>
      </c>
      <c r="N560" s="41" t="s">
        <v>3141</v>
      </c>
      <c r="O560" s="41" t="s">
        <v>2369</v>
      </c>
      <c r="P560" s="41" t="s">
        <v>3152</v>
      </c>
      <c r="Q560" s="42" t="s">
        <v>1343</v>
      </c>
      <c r="V560" s="39">
        <v>2506</v>
      </c>
      <c r="Y560" s="39" t="s">
        <v>3262</v>
      </c>
      <c r="Z560" s="40" t="s">
        <v>375</v>
      </c>
      <c r="AA560" s="41" t="s">
        <v>2593</v>
      </c>
      <c r="AB560" s="41" t="s">
        <v>546</v>
      </c>
    </row>
    <row r="561" spans="11:28" ht="17.25" customHeight="1" x14ac:dyDescent="0.25">
      <c r="K561" s="40" t="s">
        <v>413</v>
      </c>
      <c r="L561" s="41" t="s">
        <v>2893</v>
      </c>
      <c r="M561" s="41" t="s">
        <v>523</v>
      </c>
      <c r="N561" s="41" t="s">
        <v>3139</v>
      </c>
      <c r="O561" s="41" t="s">
        <v>2369</v>
      </c>
      <c r="P561" s="41" t="s">
        <v>3145</v>
      </c>
      <c r="Q561" s="42" t="s">
        <v>1343</v>
      </c>
      <c r="V561" s="39">
        <v>2532</v>
      </c>
      <c r="Y561" s="39" t="s">
        <v>3263</v>
      </c>
      <c r="Z561" s="40" t="s">
        <v>185</v>
      </c>
      <c r="AA561" s="41" t="s">
        <v>2470</v>
      </c>
      <c r="AB561" s="41" t="s">
        <v>552</v>
      </c>
    </row>
    <row r="562" spans="11:28" ht="17.25" customHeight="1" x14ac:dyDescent="0.25">
      <c r="K562" s="40" t="s">
        <v>427</v>
      </c>
      <c r="L562" s="41" t="s">
        <v>2894</v>
      </c>
      <c r="M562" s="41" t="s">
        <v>534</v>
      </c>
      <c r="N562" s="41" t="s">
        <v>3141</v>
      </c>
      <c r="O562" s="41" t="s">
        <v>2369</v>
      </c>
      <c r="P562" s="41" t="s">
        <v>3145</v>
      </c>
      <c r="Q562" s="42" t="s">
        <v>1343</v>
      </c>
      <c r="V562" s="39">
        <v>2475</v>
      </c>
      <c r="Y562" s="39" t="s">
        <v>3264</v>
      </c>
      <c r="Z562" s="40" t="s">
        <v>34</v>
      </c>
      <c r="AA562" s="41" t="s">
        <v>2406</v>
      </c>
      <c r="AB562" s="41" t="s">
        <v>500</v>
      </c>
    </row>
    <row r="563" spans="11:28" ht="17.25" customHeight="1" x14ac:dyDescent="0.25">
      <c r="K563" s="40" t="s">
        <v>445</v>
      </c>
      <c r="L563" s="41" t="s">
        <v>2895</v>
      </c>
      <c r="M563" s="41" t="s">
        <v>524</v>
      </c>
      <c r="N563" s="41" t="s">
        <v>3141</v>
      </c>
      <c r="O563" s="41" t="s">
        <v>2369</v>
      </c>
      <c r="P563" s="41" t="s">
        <v>3145</v>
      </c>
      <c r="Q563" s="42" t="s">
        <v>1343</v>
      </c>
      <c r="V563" s="39">
        <v>2538</v>
      </c>
      <c r="Y563" s="39" t="s">
        <v>3265</v>
      </c>
      <c r="Z563" s="40" t="s">
        <v>39</v>
      </c>
      <c r="AA563" s="41" t="s">
        <v>2463</v>
      </c>
      <c r="AB563" s="41" t="s">
        <v>552</v>
      </c>
    </row>
    <row r="564" spans="11:28" ht="17.25" customHeight="1" x14ac:dyDescent="0.25">
      <c r="K564" s="40" t="s">
        <v>664</v>
      </c>
      <c r="L564" s="41" t="s">
        <v>2896</v>
      </c>
      <c r="M564" s="41" t="s">
        <v>524</v>
      </c>
      <c r="N564" s="41" t="s">
        <v>3141</v>
      </c>
      <c r="O564" s="41" t="s">
        <v>2369</v>
      </c>
      <c r="P564" s="41" t="s">
        <v>3145</v>
      </c>
      <c r="Q564" s="42" t="s">
        <v>1343</v>
      </c>
      <c r="V564" s="39">
        <v>2504</v>
      </c>
      <c r="Y564" s="39" t="s">
        <v>3266</v>
      </c>
      <c r="Z564" s="40" t="s">
        <v>1314</v>
      </c>
      <c r="AA564" s="41" t="s">
        <v>2611</v>
      </c>
      <c r="AB564" s="41" t="s">
        <v>554</v>
      </c>
    </row>
    <row r="565" spans="11:28" ht="17.25" customHeight="1" x14ac:dyDescent="0.25">
      <c r="K565" s="40" t="s">
        <v>642</v>
      </c>
      <c r="L565" s="41" t="s">
        <v>2897</v>
      </c>
      <c r="M565" s="41" t="s">
        <v>535</v>
      </c>
      <c r="N565" s="41" t="s">
        <v>3141</v>
      </c>
      <c r="O565" s="41" t="s">
        <v>2369</v>
      </c>
      <c r="P565" s="41" t="s">
        <v>3145</v>
      </c>
      <c r="Q565" s="42" t="s">
        <v>1343</v>
      </c>
      <c r="V565" s="39">
        <v>2526</v>
      </c>
      <c r="Y565" s="39" t="s">
        <v>3267</v>
      </c>
      <c r="Z565" s="40" t="s">
        <v>17</v>
      </c>
      <c r="AA565" s="41" t="s">
        <v>2807</v>
      </c>
      <c r="AB565" s="41" t="s">
        <v>508</v>
      </c>
    </row>
    <row r="566" spans="11:28" ht="17.25" customHeight="1" x14ac:dyDescent="0.25">
      <c r="K566" s="40" t="s">
        <v>658</v>
      </c>
      <c r="L566" s="41" t="s">
        <v>2898</v>
      </c>
      <c r="M566" s="41" t="s">
        <v>535</v>
      </c>
      <c r="N566" s="41" t="s">
        <v>3141</v>
      </c>
      <c r="O566" s="41" t="s">
        <v>2369</v>
      </c>
      <c r="P566" s="41" t="s">
        <v>3145</v>
      </c>
      <c r="Q566" s="42" t="s">
        <v>1343</v>
      </c>
      <c r="V566" s="39">
        <v>2529</v>
      </c>
      <c r="Y566" s="39" t="s">
        <v>3268</v>
      </c>
      <c r="Z566" s="40" t="s">
        <v>80</v>
      </c>
      <c r="AA566" s="41" t="s">
        <v>2817</v>
      </c>
      <c r="AB566" s="41" t="s">
        <v>527</v>
      </c>
    </row>
    <row r="567" spans="11:28" ht="17.25" customHeight="1" x14ac:dyDescent="0.25">
      <c r="K567" s="40" t="s">
        <v>640</v>
      </c>
      <c r="L567" s="41" t="s">
        <v>2899</v>
      </c>
      <c r="M567" s="41" t="s">
        <v>518</v>
      </c>
      <c r="N567" s="41" t="s">
        <v>3141</v>
      </c>
      <c r="O567" s="41" t="s">
        <v>2369</v>
      </c>
      <c r="P567" s="41" t="s">
        <v>3145</v>
      </c>
      <c r="Q567" s="42" t="s">
        <v>1343</v>
      </c>
      <c r="V567" s="39">
        <v>2499</v>
      </c>
      <c r="Y567" s="39" t="s">
        <v>3269</v>
      </c>
      <c r="Z567" s="40" t="s">
        <v>14</v>
      </c>
      <c r="AA567" s="41" t="s">
        <v>2809</v>
      </c>
      <c r="AB567" s="41" t="s">
        <v>508</v>
      </c>
    </row>
    <row r="568" spans="11:28" ht="17.25" customHeight="1" x14ac:dyDescent="0.25">
      <c r="K568" s="40" t="s">
        <v>743</v>
      </c>
      <c r="L568" s="41" t="s">
        <v>2900</v>
      </c>
      <c r="M568" s="41" t="s">
        <v>518</v>
      </c>
      <c r="N568" s="41" t="s">
        <v>3141</v>
      </c>
      <c r="O568" s="41" t="s">
        <v>2369</v>
      </c>
      <c r="P568" s="41" t="s">
        <v>3145</v>
      </c>
      <c r="Q568" s="42" t="s">
        <v>1343</v>
      </c>
      <c r="V568" s="39">
        <v>2527</v>
      </c>
      <c r="Y568" s="39" t="s">
        <v>3270</v>
      </c>
      <c r="Z568" s="40" t="s">
        <v>19</v>
      </c>
      <c r="AA568" s="41" t="s">
        <v>2860</v>
      </c>
      <c r="AB568" s="41" t="s">
        <v>508</v>
      </c>
    </row>
    <row r="569" spans="11:28" ht="17.25" customHeight="1" x14ac:dyDescent="0.25">
      <c r="K569" s="40" t="s">
        <v>297</v>
      </c>
      <c r="L569" s="41" t="s">
        <v>2901</v>
      </c>
      <c r="M569" s="41" t="s">
        <v>518</v>
      </c>
      <c r="N569" s="41" t="s">
        <v>3141</v>
      </c>
      <c r="O569" s="41" t="s">
        <v>2369</v>
      </c>
      <c r="P569" s="41" t="s">
        <v>3145</v>
      </c>
      <c r="Q569" s="42" t="s">
        <v>1343</v>
      </c>
      <c r="V569" s="39">
        <v>2497</v>
      </c>
      <c r="Y569" s="39" t="s">
        <v>3271</v>
      </c>
      <c r="Z569" s="40" t="s">
        <v>195</v>
      </c>
      <c r="AA569" s="41" t="s">
        <v>2436</v>
      </c>
      <c r="AB569" s="41" t="s">
        <v>500</v>
      </c>
    </row>
    <row r="570" spans="11:28" ht="17.25" customHeight="1" x14ac:dyDescent="0.25">
      <c r="K570" s="40" t="s">
        <v>574</v>
      </c>
      <c r="L570" s="41" t="s">
        <v>2902</v>
      </c>
      <c r="M570" s="41" t="s">
        <v>532</v>
      </c>
      <c r="N570" s="41" t="s">
        <v>3141</v>
      </c>
      <c r="O570" s="41" t="s">
        <v>2369</v>
      </c>
      <c r="P570" s="41" t="s">
        <v>3145</v>
      </c>
      <c r="Q570" s="42" t="s">
        <v>1343</v>
      </c>
      <c r="V570" s="39">
        <v>2536</v>
      </c>
      <c r="Y570" s="39" t="s">
        <v>3272</v>
      </c>
      <c r="Z570" s="40" t="s">
        <v>158</v>
      </c>
      <c r="AA570" s="41" t="s">
        <v>2487</v>
      </c>
      <c r="AB570" s="41" t="s">
        <v>544</v>
      </c>
    </row>
    <row r="571" spans="11:28" ht="17.25" customHeight="1" x14ac:dyDescent="0.25">
      <c r="K571" s="40" t="s">
        <v>578</v>
      </c>
      <c r="L571" s="41" t="s">
        <v>2903</v>
      </c>
      <c r="M571" s="41" t="s">
        <v>508</v>
      </c>
      <c r="N571" s="41" t="s">
        <v>3141</v>
      </c>
      <c r="O571" s="41" t="s">
        <v>2369</v>
      </c>
      <c r="P571" s="41" t="s">
        <v>3145</v>
      </c>
      <c r="Q571" s="42" t="s">
        <v>1343</v>
      </c>
      <c r="V571" s="39">
        <v>2517</v>
      </c>
      <c r="Y571" s="39" t="s">
        <v>3273</v>
      </c>
      <c r="Z571" s="40" t="s">
        <v>110</v>
      </c>
      <c r="AA571" s="41" t="s">
        <v>2451</v>
      </c>
      <c r="AB571" s="41" t="s">
        <v>507</v>
      </c>
    </row>
    <row r="572" spans="11:28" ht="17.25" customHeight="1" x14ac:dyDescent="0.3">
      <c r="K572" s="40" t="s">
        <v>626</v>
      </c>
      <c r="L572" s="41" t="s">
        <v>2904</v>
      </c>
      <c r="M572" s="41" t="s">
        <v>530</v>
      </c>
      <c r="N572" s="41" t="s">
        <v>3141</v>
      </c>
      <c r="O572" s="41" t="s">
        <v>2369</v>
      </c>
      <c r="P572" s="41" t="s">
        <v>3145</v>
      </c>
      <c r="Q572" s="42" t="s">
        <v>1343</v>
      </c>
      <c r="V572" s="39">
        <v>2488</v>
      </c>
      <c r="Y572" s="82" t="s">
        <v>3274</v>
      </c>
      <c r="Z572" s="40" t="s">
        <v>111</v>
      </c>
      <c r="AA572" s="41" t="s">
        <v>2442</v>
      </c>
      <c r="AB572" s="41" t="s">
        <v>507</v>
      </c>
    </row>
    <row r="573" spans="11:28" ht="17.25" customHeight="1" x14ac:dyDescent="0.3">
      <c r="K573" s="40" t="s">
        <v>567</v>
      </c>
      <c r="L573" s="41" t="s">
        <v>2905</v>
      </c>
      <c r="M573" s="41" t="s">
        <v>518</v>
      </c>
      <c r="N573" s="41" t="s">
        <v>3141</v>
      </c>
      <c r="O573" s="41" t="s">
        <v>2369</v>
      </c>
      <c r="P573" s="41" t="s">
        <v>3145</v>
      </c>
      <c r="Q573" s="42" t="s">
        <v>1343</v>
      </c>
      <c r="V573" s="39">
        <v>2491</v>
      </c>
      <c r="Y573" s="82" t="s">
        <v>3275</v>
      </c>
      <c r="Z573" s="40" t="s">
        <v>49</v>
      </c>
      <c r="AA573" s="41" t="s">
        <v>2412</v>
      </c>
      <c r="AB573" s="41" t="s">
        <v>500</v>
      </c>
    </row>
    <row r="574" spans="11:28" ht="17.25" customHeight="1" x14ac:dyDescent="0.3">
      <c r="K574" s="40" t="s">
        <v>663</v>
      </c>
      <c r="L574" s="41" t="s">
        <v>2906</v>
      </c>
      <c r="M574" s="41" t="s">
        <v>523</v>
      </c>
      <c r="N574" s="41" t="s">
        <v>3139</v>
      </c>
      <c r="O574" s="41" t="s">
        <v>2369</v>
      </c>
      <c r="P574" s="41" t="s">
        <v>3145</v>
      </c>
      <c r="Q574" s="42" t="s">
        <v>1343</v>
      </c>
      <c r="V574" s="39">
        <v>2503</v>
      </c>
      <c r="Y574" s="82" t="s">
        <v>3276</v>
      </c>
      <c r="Z574" s="40" t="s">
        <v>27</v>
      </c>
      <c r="AA574" s="41" t="s">
        <v>2407</v>
      </c>
      <c r="AB574" s="41" t="s">
        <v>500</v>
      </c>
    </row>
    <row r="575" spans="11:28" ht="17.25" customHeight="1" x14ac:dyDescent="0.3">
      <c r="K575" s="40" t="s">
        <v>593</v>
      </c>
      <c r="L575" s="41" t="s">
        <v>2907</v>
      </c>
      <c r="M575" s="41" t="s">
        <v>532</v>
      </c>
      <c r="N575" s="41" t="s">
        <v>3139</v>
      </c>
      <c r="O575" s="41" t="s">
        <v>2369</v>
      </c>
      <c r="P575" s="41" t="s">
        <v>3145</v>
      </c>
      <c r="Q575" s="42" t="s">
        <v>1343</v>
      </c>
      <c r="V575" s="39">
        <v>2521</v>
      </c>
      <c r="Y575" s="82" t="s">
        <v>3277</v>
      </c>
      <c r="Z575" s="40" t="s">
        <v>47</v>
      </c>
      <c r="AA575" s="41" t="s">
        <v>2408</v>
      </c>
      <c r="AB575" s="41" t="s">
        <v>500</v>
      </c>
    </row>
    <row r="576" spans="11:28" ht="17.25" customHeight="1" x14ac:dyDescent="0.25">
      <c r="K576" s="40" t="s">
        <v>622</v>
      </c>
      <c r="L576" s="41" t="s">
        <v>2908</v>
      </c>
      <c r="M576" s="41" t="s">
        <v>532</v>
      </c>
      <c r="N576" s="41" t="s">
        <v>3139</v>
      </c>
      <c r="O576" s="41" t="s">
        <v>2369</v>
      </c>
      <c r="P576" s="41" t="s">
        <v>3145</v>
      </c>
      <c r="Q576" s="42" t="s">
        <v>1343</v>
      </c>
      <c r="V576" s="39">
        <v>2533</v>
      </c>
      <c r="Y576" s="83" t="s">
        <v>3280</v>
      </c>
      <c r="Z576" s="40" t="s">
        <v>115</v>
      </c>
      <c r="AA576" s="41" t="s">
        <v>2449</v>
      </c>
      <c r="AB576" s="41" t="s">
        <v>507</v>
      </c>
    </row>
    <row r="577" spans="11:28" ht="17.25" customHeight="1" x14ac:dyDescent="0.25">
      <c r="K577" s="40" t="s">
        <v>634</v>
      </c>
      <c r="L577" s="41" t="s">
        <v>2909</v>
      </c>
      <c r="M577" s="41" t="s">
        <v>519</v>
      </c>
      <c r="N577" s="41" t="s">
        <v>3141</v>
      </c>
      <c r="O577" s="41" t="s">
        <v>2369</v>
      </c>
      <c r="P577" s="41" t="s">
        <v>3145</v>
      </c>
      <c r="Q577" s="42" t="s">
        <v>1343</v>
      </c>
      <c r="V577" s="39">
        <v>2531</v>
      </c>
      <c r="Y577" s="39" t="s">
        <v>3281</v>
      </c>
      <c r="Z577" s="40" t="s">
        <v>109</v>
      </c>
      <c r="AA577" s="41" t="s">
        <v>2438</v>
      </c>
      <c r="AB577" s="41" t="s">
        <v>507</v>
      </c>
    </row>
    <row r="578" spans="11:28" ht="17.25" customHeight="1" x14ac:dyDescent="0.25">
      <c r="K578" s="40" t="s">
        <v>693</v>
      </c>
      <c r="L578" s="41" t="s">
        <v>2910</v>
      </c>
      <c r="M578" s="41" t="s">
        <v>1322</v>
      </c>
      <c r="N578" s="41" t="s">
        <v>3141</v>
      </c>
      <c r="O578" s="41" t="s">
        <v>2369</v>
      </c>
      <c r="P578" s="41" t="s">
        <v>3145</v>
      </c>
      <c r="Q578" s="42" t="s">
        <v>1343</v>
      </c>
      <c r="V578" s="39">
        <v>2518</v>
      </c>
      <c r="Y578" s="39" t="s">
        <v>3282</v>
      </c>
      <c r="Z578" s="40" t="s">
        <v>130</v>
      </c>
      <c r="AA578" s="41" t="s">
        <v>2459</v>
      </c>
      <c r="AB578" s="41" t="s">
        <v>507</v>
      </c>
    </row>
    <row r="579" spans="11:28" ht="17.25" customHeight="1" x14ac:dyDescent="0.25">
      <c r="K579" s="40" t="s">
        <v>70</v>
      </c>
      <c r="L579" s="41" t="s">
        <v>2911</v>
      </c>
      <c r="M579" s="41" t="s">
        <v>527</v>
      </c>
      <c r="N579" s="41" t="s">
        <v>3141</v>
      </c>
      <c r="O579" s="41" t="s">
        <v>2369</v>
      </c>
      <c r="P579" s="41" t="s">
        <v>3145</v>
      </c>
      <c r="Q579" s="42" t="s">
        <v>1343</v>
      </c>
      <c r="V579" s="39">
        <v>2519</v>
      </c>
      <c r="Y579" s="39" t="s">
        <v>3283</v>
      </c>
      <c r="Z579" s="40" t="s">
        <v>130</v>
      </c>
      <c r="AA579" s="41" t="s">
        <v>2459</v>
      </c>
      <c r="AB579" s="41" t="s">
        <v>507</v>
      </c>
    </row>
    <row r="580" spans="11:28" ht="17.25" customHeight="1" x14ac:dyDescent="0.25">
      <c r="K580" s="40" t="s">
        <v>223</v>
      </c>
      <c r="L580" s="41" t="s">
        <v>2642</v>
      </c>
      <c r="M580" s="41" t="s">
        <v>508</v>
      </c>
      <c r="N580" s="41" t="s">
        <v>3139</v>
      </c>
      <c r="O580" s="41" t="s">
        <v>2369</v>
      </c>
      <c r="P580" s="41" t="s">
        <v>3145</v>
      </c>
      <c r="Q580" s="42" t="s">
        <v>1343</v>
      </c>
      <c r="V580" s="39">
        <v>2537</v>
      </c>
      <c r="Y580" s="39" t="s">
        <v>3284</v>
      </c>
      <c r="Z580" s="40" t="s">
        <v>158</v>
      </c>
      <c r="AA580" s="41" t="s">
        <v>2487</v>
      </c>
      <c r="AB580" s="41" t="s">
        <v>544</v>
      </c>
    </row>
    <row r="581" spans="11:28" ht="17.25" customHeight="1" x14ac:dyDescent="0.25">
      <c r="K581" s="40" t="s">
        <v>221</v>
      </c>
      <c r="L581" s="41" t="s">
        <v>2912</v>
      </c>
      <c r="M581" s="41" t="s">
        <v>519</v>
      </c>
      <c r="N581" s="41" t="s">
        <v>3141</v>
      </c>
      <c r="O581" s="41" t="s">
        <v>2369</v>
      </c>
      <c r="P581" s="41" t="s">
        <v>3145</v>
      </c>
      <c r="Q581" s="42" t="s">
        <v>1343</v>
      </c>
      <c r="V581" s="39">
        <v>2543</v>
      </c>
      <c r="Y581" s="39" t="s">
        <v>3285</v>
      </c>
      <c r="Z581" s="40" t="s">
        <v>178</v>
      </c>
      <c r="AA581" s="41" t="s">
        <v>2489</v>
      </c>
      <c r="AB581" s="41" t="s">
        <v>544</v>
      </c>
    </row>
    <row r="582" spans="11:28" ht="17.25" customHeight="1" x14ac:dyDescent="0.25">
      <c r="K582" s="40" t="s">
        <v>224</v>
      </c>
      <c r="L582" s="41" t="s">
        <v>2913</v>
      </c>
      <c r="M582" s="41" t="s">
        <v>525</v>
      </c>
      <c r="N582" s="41" t="s">
        <v>3139</v>
      </c>
      <c r="O582" s="41" t="s">
        <v>2369</v>
      </c>
      <c r="P582" s="41" t="s">
        <v>3152</v>
      </c>
      <c r="Q582" s="42" t="s">
        <v>1343</v>
      </c>
      <c r="V582" s="39">
        <v>2542</v>
      </c>
      <c r="Y582" s="39" t="s">
        <v>3286</v>
      </c>
      <c r="Z582" s="40" t="s">
        <v>39</v>
      </c>
      <c r="AA582" s="41" t="s">
        <v>2463</v>
      </c>
      <c r="AB582" s="41" t="s">
        <v>552</v>
      </c>
    </row>
    <row r="583" spans="11:28" ht="17.25" customHeight="1" x14ac:dyDescent="0.25">
      <c r="K583" s="40" t="s">
        <v>455</v>
      </c>
      <c r="L583" s="41" t="s">
        <v>2914</v>
      </c>
      <c r="M583" s="41" t="s">
        <v>525</v>
      </c>
      <c r="N583" s="41" t="s">
        <v>3139</v>
      </c>
      <c r="O583" s="41" t="s">
        <v>2369</v>
      </c>
      <c r="P583" s="41" t="s">
        <v>3152</v>
      </c>
      <c r="Q583" s="42" t="s">
        <v>1343</v>
      </c>
      <c r="V583" s="39">
        <v>2494</v>
      </c>
      <c r="Y583" s="39" t="s">
        <v>3287</v>
      </c>
      <c r="Z583" s="40" t="s">
        <v>36</v>
      </c>
      <c r="AA583" s="41" t="s">
        <v>2521</v>
      </c>
      <c r="AB583" s="41" t="s">
        <v>550</v>
      </c>
    </row>
    <row r="584" spans="11:28" ht="17.25" customHeight="1" x14ac:dyDescent="0.25">
      <c r="K584" s="40" t="s">
        <v>232</v>
      </c>
      <c r="L584" s="41" t="s">
        <v>2915</v>
      </c>
      <c r="M584" s="41" t="s">
        <v>525</v>
      </c>
      <c r="N584" s="41" t="s">
        <v>3139</v>
      </c>
      <c r="O584" s="41" t="s">
        <v>2369</v>
      </c>
      <c r="P584" s="41" t="s">
        <v>3152</v>
      </c>
      <c r="Q584" s="42" t="s">
        <v>1343</v>
      </c>
      <c r="V584" s="39">
        <v>2476</v>
      </c>
      <c r="Y584" s="39" t="s">
        <v>3288</v>
      </c>
      <c r="Z584" s="40" t="s">
        <v>76</v>
      </c>
      <c r="AA584" s="41" t="s">
        <v>2409</v>
      </c>
      <c r="AB584" s="41" t="s">
        <v>500</v>
      </c>
    </row>
    <row r="585" spans="11:28" ht="17.25" customHeight="1" x14ac:dyDescent="0.25">
      <c r="K585" s="40" t="s">
        <v>235</v>
      </c>
      <c r="L585" s="41" t="s">
        <v>2916</v>
      </c>
      <c r="M585" s="41" t="s">
        <v>525</v>
      </c>
      <c r="N585" s="41" t="s">
        <v>3139</v>
      </c>
      <c r="O585" s="41" t="s">
        <v>2369</v>
      </c>
      <c r="P585" s="41" t="s">
        <v>3152</v>
      </c>
      <c r="Q585" s="42" t="s">
        <v>1343</v>
      </c>
      <c r="V585" s="39">
        <v>20006000</v>
      </c>
      <c r="Y585" s="39" t="s">
        <v>3289</v>
      </c>
      <c r="Z585" s="40" t="s">
        <v>49</v>
      </c>
      <c r="AA585" s="41" t="s">
        <v>2412</v>
      </c>
      <c r="AB585" s="41" t="s">
        <v>500</v>
      </c>
    </row>
    <row r="586" spans="11:28" ht="17.25" customHeight="1" x14ac:dyDescent="0.25">
      <c r="K586" s="40" t="s">
        <v>238</v>
      </c>
      <c r="L586" s="41" t="s">
        <v>2917</v>
      </c>
      <c r="M586" s="41" t="s">
        <v>509</v>
      </c>
      <c r="N586" s="41" t="s">
        <v>3141</v>
      </c>
      <c r="O586" s="41" t="s">
        <v>2369</v>
      </c>
      <c r="P586" s="41" t="s">
        <v>3145</v>
      </c>
      <c r="Q586" s="42" t="s">
        <v>1343</v>
      </c>
      <c r="V586" s="39">
        <v>2534</v>
      </c>
      <c r="Y586" s="39" t="s">
        <v>3290</v>
      </c>
      <c r="Z586" s="40" t="s">
        <v>112</v>
      </c>
      <c r="AA586" s="41" t="s">
        <v>2447</v>
      </c>
      <c r="AB586" s="41" t="s">
        <v>507</v>
      </c>
    </row>
    <row r="587" spans="11:28" ht="17.25" customHeight="1" x14ac:dyDescent="0.25">
      <c r="K587" s="40" t="s">
        <v>2396</v>
      </c>
      <c r="L587" s="41" t="s">
        <v>2918</v>
      </c>
      <c r="M587" s="41" t="s">
        <v>512</v>
      </c>
      <c r="N587" s="41" t="s">
        <v>3139</v>
      </c>
      <c r="O587" s="41" t="s">
        <v>2369</v>
      </c>
      <c r="P587" s="41" t="s">
        <v>3145</v>
      </c>
      <c r="Q587" s="42" t="s">
        <v>1343</v>
      </c>
      <c r="V587" s="39">
        <v>2515</v>
      </c>
      <c r="Y587" s="39" t="s">
        <v>3279</v>
      </c>
      <c r="Z587" s="40" t="s">
        <v>125</v>
      </c>
      <c r="AA587" s="41" t="s">
        <v>2441</v>
      </c>
      <c r="AB587" s="41" t="s">
        <v>507</v>
      </c>
    </row>
    <row r="588" spans="11:28" ht="17.25" customHeight="1" x14ac:dyDescent="0.25">
      <c r="K588" s="40" t="s">
        <v>220</v>
      </c>
      <c r="L588" s="41" t="s">
        <v>2919</v>
      </c>
      <c r="M588" s="41" t="s">
        <v>530</v>
      </c>
      <c r="N588" s="41" t="s">
        <v>3139</v>
      </c>
      <c r="O588" s="41" t="s">
        <v>2369</v>
      </c>
      <c r="P588" s="41" t="s">
        <v>3145</v>
      </c>
      <c r="Q588" s="42" t="s">
        <v>1343</v>
      </c>
      <c r="V588" s="39">
        <v>20003000</v>
      </c>
      <c r="Y588" s="39" t="s">
        <v>3291</v>
      </c>
      <c r="Z588" s="39" t="s">
        <v>108</v>
      </c>
      <c r="AA588" s="39" t="s">
        <v>2847</v>
      </c>
      <c r="AB588" s="39" t="s">
        <v>509</v>
      </c>
    </row>
    <row r="589" spans="11:28" ht="17.25" customHeight="1" x14ac:dyDescent="0.25">
      <c r="K589" s="40" t="s">
        <v>252</v>
      </c>
      <c r="L589" s="41" t="s">
        <v>2920</v>
      </c>
      <c r="M589" s="41" t="s">
        <v>519</v>
      </c>
      <c r="N589" s="41" t="s">
        <v>3139</v>
      </c>
      <c r="O589" s="41" t="s">
        <v>2369</v>
      </c>
      <c r="P589" s="41" t="s">
        <v>3145</v>
      </c>
      <c r="Q589" s="42" t="s">
        <v>1343</v>
      </c>
      <c r="V589" s="39">
        <v>20008000</v>
      </c>
      <c r="Y589" s="39" t="s">
        <v>3292</v>
      </c>
      <c r="Z589" s="39" t="s">
        <v>147</v>
      </c>
      <c r="AA589" s="39" t="s">
        <v>2854</v>
      </c>
      <c r="AB589" s="39" t="s">
        <v>512</v>
      </c>
    </row>
    <row r="590" spans="11:28" ht="17.25" customHeight="1" x14ac:dyDescent="0.25">
      <c r="K590" s="40" t="s">
        <v>254</v>
      </c>
      <c r="L590" s="41" t="s">
        <v>2921</v>
      </c>
      <c r="M590" s="41" t="s">
        <v>518</v>
      </c>
      <c r="N590" s="41" t="s">
        <v>3139</v>
      </c>
      <c r="O590" s="41" t="s">
        <v>2369</v>
      </c>
      <c r="P590" s="41" t="s">
        <v>3145</v>
      </c>
      <c r="Q590" s="42" t="s">
        <v>1343</v>
      </c>
      <c r="V590" s="39">
        <v>2540</v>
      </c>
      <c r="Y590" s="39" t="s">
        <v>3293</v>
      </c>
      <c r="Z590" s="39" t="s">
        <v>692</v>
      </c>
      <c r="AA590" s="39" t="s">
        <v>3060</v>
      </c>
      <c r="AB590" s="39" t="s">
        <v>532</v>
      </c>
    </row>
    <row r="591" spans="11:28" ht="17.25" customHeight="1" x14ac:dyDescent="0.25">
      <c r="K591" s="40" t="s">
        <v>250</v>
      </c>
      <c r="L591" s="41" t="s">
        <v>2922</v>
      </c>
      <c r="M591" s="41" t="s">
        <v>512</v>
      </c>
      <c r="N591" s="41" t="s">
        <v>3139</v>
      </c>
      <c r="O591" s="41" t="s">
        <v>2369</v>
      </c>
      <c r="P591" s="41" t="s">
        <v>3145</v>
      </c>
      <c r="Q591" s="42" t="s">
        <v>1343</v>
      </c>
      <c r="V591" s="39">
        <v>20004000</v>
      </c>
      <c r="Y591" s="39" t="s">
        <v>3294</v>
      </c>
      <c r="Z591" s="39" t="s">
        <v>155</v>
      </c>
      <c r="AA591" s="39" t="s">
        <v>2418</v>
      </c>
      <c r="AB591" s="39" t="s">
        <v>500</v>
      </c>
    </row>
    <row r="592" spans="11:28" ht="17.25" customHeight="1" x14ac:dyDescent="0.25">
      <c r="K592" s="40" t="s">
        <v>706</v>
      </c>
      <c r="L592" s="41" t="s">
        <v>2923</v>
      </c>
      <c r="M592" s="41" t="s">
        <v>532</v>
      </c>
      <c r="N592" s="41" t="s">
        <v>3139</v>
      </c>
      <c r="O592" s="41" t="s">
        <v>2369</v>
      </c>
      <c r="P592" s="41" t="s">
        <v>3145</v>
      </c>
      <c r="Q592" s="42" t="s">
        <v>1343</v>
      </c>
      <c r="V592" s="39">
        <v>20005000</v>
      </c>
      <c r="Y592" s="39" t="s">
        <v>3297</v>
      </c>
      <c r="Z592" s="40" t="s">
        <v>116</v>
      </c>
      <c r="AA592" s="41" t="s">
        <v>2455</v>
      </c>
      <c r="AB592" s="41" t="s">
        <v>507</v>
      </c>
    </row>
    <row r="593" spans="11:28" ht="17.25" customHeight="1" x14ac:dyDescent="0.25">
      <c r="K593" s="40" t="s">
        <v>3358</v>
      </c>
      <c r="L593" s="41" t="s">
        <v>3370</v>
      </c>
      <c r="M593" s="41" t="s">
        <v>519</v>
      </c>
      <c r="N593" s="41" t="s">
        <v>3139</v>
      </c>
      <c r="O593" s="41" t="s">
        <v>2369</v>
      </c>
      <c r="P593" s="41" t="s">
        <v>3145</v>
      </c>
      <c r="Q593" s="42" t="s">
        <v>1343</v>
      </c>
      <c r="V593" s="39">
        <v>20007000</v>
      </c>
      <c r="Y593" s="39" t="s">
        <v>3299</v>
      </c>
      <c r="Z593" s="40" t="s">
        <v>429</v>
      </c>
      <c r="AA593" s="41" t="s">
        <v>2738</v>
      </c>
      <c r="AB593" s="41" t="s">
        <v>565</v>
      </c>
    </row>
    <row r="594" spans="11:28" ht="17.25" customHeight="1" x14ac:dyDescent="0.25">
      <c r="K594" s="40" t="s">
        <v>283</v>
      </c>
      <c r="L594" s="41" t="s">
        <v>2925</v>
      </c>
      <c r="M594" s="41" t="s">
        <v>525</v>
      </c>
      <c r="N594" s="41" t="s">
        <v>3139</v>
      </c>
      <c r="O594" s="41" t="s">
        <v>2369</v>
      </c>
      <c r="P594" s="41" t="s">
        <v>3152</v>
      </c>
      <c r="Q594" s="42" t="s">
        <v>1343</v>
      </c>
      <c r="V594" s="39">
        <v>20018000</v>
      </c>
      <c r="Y594" s="39" t="s">
        <v>3300</v>
      </c>
      <c r="Z594" s="40" t="s">
        <v>116</v>
      </c>
      <c r="AA594" s="41" t="s">
        <v>2455</v>
      </c>
      <c r="AB594" s="41" t="s">
        <v>507</v>
      </c>
    </row>
    <row r="595" spans="11:28" ht="17.25" customHeight="1" x14ac:dyDescent="0.25">
      <c r="K595" s="40" t="s">
        <v>629</v>
      </c>
      <c r="L595" s="41" t="s">
        <v>2926</v>
      </c>
      <c r="M595" s="41" t="s">
        <v>532</v>
      </c>
      <c r="N595" s="41" t="s">
        <v>3139</v>
      </c>
      <c r="O595" s="41" t="s">
        <v>2369</v>
      </c>
      <c r="P595" s="41" t="s">
        <v>3145</v>
      </c>
      <c r="Q595" s="42" t="s">
        <v>1343</v>
      </c>
      <c r="V595" s="39">
        <v>20009000</v>
      </c>
      <c r="Y595" s="39" t="s">
        <v>3301</v>
      </c>
      <c r="Z595" s="40" t="s">
        <v>128</v>
      </c>
      <c r="AA595" s="41" t="s">
        <v>2460</v>
      </c>
      <c r="AB595" s="41" t="s">
        <v>507</v>
      </c>
    </row>
    <row r="596" spans="11:28" ht="17.25" customHeight="1" x14ac:dyDescent="0.25">
      <c r="K596" s="40" t="s">
        <v>620</v>
      </c>
      <c r="L596" s="41" t="s">
        <v>2927</v>
      </c>
      <c r="M596" s="41" t="s">
        <v>525</v>
      </c>
      <c r="N596" s="41" t="s">
        <v>3139</v>
      </c>
      <c r="O596" s="41" t="s">
        <v>2369</v>
      </c>
      <c r="P596" s="41" t="s">
        <v>3152</v>
      </c>
      <c r="Q596" s="42" t="s">
        <v>1343</v>
      </c>
      <c r="V596" s="39">
        <v>2535</v>
      </c>
      <c r="Y596" s="39" t="s">
        <v>3305</v>
      </c>
      <c r="Z596" s="40" t="s">
        <v>157</v>
      </c>
      <c r="AA596" s="41" t="s">
        <v>2835</v>
      </c>
      <c r="AB596" s="41" t="s">
        <v>508</v>
      </c>
    </row>
    <row r="597" spans="11:28" ht="17.25" customHeight="1" x14ac:dyDescent="0.25">
      <c r="K597" s="40" t="s">
        <v>744</v>
      </c>
      <c r="L597" s="41" t="s">
        <v>2928</v>
      </c>
      <c r="M597" s="41" t="s">
        <v>525</v>
      </c>
      <c r="N597" s="41" t="s">
        <v>3139</v>
      </c>
      <c r="O597" s="41" t="s">
        <v>2369</v>
      </c>
      <c r="P597" s="41" t="s">
        <v>3152</v>
      </c>
      <c r="Q597" s="42" t="s">
        <v>1343</v>
      </c>
      <c r="V597" s="39">
        <v>2539</v>
      </c>
      <c r="Y597" s="39" t="s">
        <v>3304</v>
      </c>
      <c r="Z597" s="40" t="s">
        <v>593</v>
      </c>
      <c r="AA597" s="41" t="s">
        <v>2907</v>
      </c>
      <c r="AB597" s="41" t="s">
        <v>532</v>
      </c>
    </row>
    <row r="598" spans="11:28" ht="17.25" customHeight="1" x14ac:dyDescent="0.25">
      <c r="K598" s="40" t="s">
        <v>277</v>
      </c>
      <c r="L598" s="41" t="s">
        <v>2929</v>
      </c>
      <c r="M598" s="41" t="s">
        <v>530</v>
      </c>
      <c r="N598" s="41" t="s">
        <v>3139</v>
      </c>
      <c r="O598" s="41" t="s">
        <v>2369</v>
      </c>
      <c r="P598" s="41" t="s">
        <v>3145</v>
      </c>
      <c r="Q598" s="42" t="s">
        <v>1343</v>
      </c>
      <c r="V598" s="39">
        <v>2520</v>
      </c>
      <c r="Y598" s="39" t="s">
        <v>3306</v>
      </c>
      <c r="Z598" s="40" t="s">
        <v>47</v>
      </c>
      <c r="AA598" s="41" t="s">
        <v>2408</v>
      </c>
      <c r="AB598" s="41" t="s">
        <v>500</v>
      </c>
    </row>
    <row r="599" spans="11:28" ht="17.25" customHeight="1" x14ac:dyDescent="0.25">
      <c r="K599" s="40" t="s">
        <v>723</v>
      </c>
      <c r="L599" s="41" t="s">
        <v>2930</v>
      </c>
      <c r="M599" s="41" t="s">
        <v>512</v>
      </c>
      <c r="N599" s="41" t="s">
        <v>3139</v>
      </c>
      <c r="O599" s="41" t="s">
        <v>2369</v>
      </c>
      <c r="P599" s="41" t="s">
        <v>3145</v>
      </c>
      <c r="Q599" s="42" t="s">
        <v>1343</v>
      </c>
      <c r="V599" s="39">
        <v>20021000</v>
      </c>
      <c r="Y599" s="39" t="s">
        <v>3307</v>
      </c>
      <c r="Z599" s="40" t="s">
        <v>126</v>
      </c>
      <c r="AA599" s="41" t="s">
        <v>2456</v>
      </c>
      <c r="AB599" s="41" t="s">
        <v>507</v>
      </c>
    </row>
    <row r="600" spans="11:28" ht="17.25" customHeight="1" x14ac:dyDescent="0.25">
      <c r="K600" s="40" t="s">
        <v>106</v>
      </c>
      <c r="L600" s="41" t="s">
        <v>2931</v>
      </c>
      <c r="M600" s="41" t="s">
        <v>512</v>
      </c>
      <c r="N600" s="41" t="s">
        <v>3139</v>
      </c>
      <c r="O600" s="41" t="s">
        <v>2369</v>
      </c>
      <c r="P600" s="41" t="s">
        <v>3145</v>
      </c>
      <c r="Q600" s="42" t="s">
        <v>1343</v>
      </c>
      <c r="V600" s="39">
        <v>20011000</v>
      </c>
      <c r="Y600" s="39" t="s">
        <v>3311</v>
      </c>
      <c r="Z600" s="40" t="s">
        <v>116</v>
      </c>
      <c r="AA600" s="41" t="s">
        <v>2455</v>
      </c>
      <c r="AB600" s="41" t="s">
        <v>507</v>
      </c>
    </row>
    <row r="601" spans="11:28" ht="17.25" customHeight="1" x14ac:dyDescent="0.25">
      <c r="K601" s="40" t="s">
        <v>284</v>
      </c>
      <c r="L601" s="41" t="s">
        <v>2932</v>
      </c>
      <c r="M601" s="41" t="s">
        <v>532</v>
      </c>
      <c r="N601" s="41" t="s">
        <v>3139</v>
      </c>
      <c r="O601" s="41" t="s">
        <v>2369</v>
      </c>
      <c r="P601" s="41" t="s">
        <v>3145</v>
      </c>
      <c r="Q601" s="42" t="s">
        <v>1343</v>
      </c>
      <c r="V601" s="39">
        <v>2489</v>
      </c>
      <c r="Y601" s="39" t="s">
        <v>3313</v>
      </c>
      <c r="Z601" s="40" t="s">
        <v>113</v>
      </c>
      <c r="AA601" s="41" t="s">
        <v>2450</v>
      </c>
      <c r="AB601" s="41" t="s">
        <v>507</v>
      </c>
    </row>
    <row r="602" spans="11:28" ht="17.25" customHeight="1" x14ac:dyDescent="0.25">
      <c r="K602" s="40" t="s">
        <v>289</v>
      </c>
      <c r="L602" s="41" t="s">
        <v>2933</v>
      </c>
      <c r="M602" s="41" t="s">
        <v>532</v>
      </c>
      <c r="N602" s="41" t="s">
        <v>3139</v>
      </c>
      <c r="O602" s="41" t="s">
        <v>2369</v>
      </c>
      <c r="P602" s="41" t="s">
        <v>3145</v>
      </c>
      <c r="Q602" s="42" t="s">
        <v>1343</v>
      </c>
      <c r="V602" s="39">
        <v>20039000</v>
      </c>
      <c r="Y602" s="39" t="s">
        <v>3314</v>
      </c>
      <c r="Z602" s="40" t="s">
        <v>33</v>
      </c>
      <c r="AA602" s="41" t="s">
        <v>2493</v>
      </c>
      <c r="AB602" s="41" t="s">
        <v>549</v>
      </c>
    </row>
    <row r="603" spans="11:28" ht="17.25" customHeight="1" x14ac:dyDescent="0.35">
      <c r="K603" s="40" t="s">
        <v>285</v>
      </c>
      <c r="L603" s="41" t="s">
        <v>2934</v>
      </c>
      <c r="M603" s="41" t="s">
        <v>508</v>
      </c>
      <c r="N603" s="41" t="s">
        <v>3141</v>
      </c>
      <c r="O603" s="41" t="s">
        <v>2369</v>
      </c>
      <c r="P603" s="41" t="s">
        <v>3145</v>
      </c>
      <c r="Q603" s="42" t="s">
        <v>1343</v>
      </c>
      <c r="V603" s="110">
        <v>20024000</v>
      </c>
      <c r="Y603" s="39" t="s">
        <v>3316</v>
      </c>
      <c r="Z603" s="40" t="s">
        <v>378</v>
      </c>
      <c r="AA603" s="41" t="s">
        <v>2552</v>
      </c>
      <c r="AB603" s="41" t="s">
        <v>559</v>
      </c>
    </row>
    <row r="604" spans="11:28" ht="17.25" customHeight="1" x14ac:dyDescent="0.25">
      <c r="K604" s="40" t="s">
        <v>281</v>
      </c>
      <c r="L604" s="41" t="s">
        <v>2935</v>
      </c>
      <c r="M604" s="41" t="s">
        <v>532</v>
      </c>
      <c r="N604" s="41" t="s">
        <v>3139</v>
      </c>
      <c r="O604" s="41" t="s">
        <v>2369</v>
      </c>
      <c r="P604" s="41" t="s">
        <v>3145</v>
      </c>
      <c r="Q604" s="42" t="s">
        <v>1343</v>
      </c>
      <c r="V604" s="39">
        <v>20001000</v>
      </c>
      <c r="Y604" s="39" t="s">
        <v>3317</v>
      </c>
      <c r="Z604" s="40" t="s">
        <v>51</v>
      </c>
      <c r="AA604" s="41" t="s">
        <v>2410</v>
      </c>
      <c r="AB604" s="41" t="s">
        <v>500</v>
      </c>
    </row>
    <row r="605" spans="11:28" ht="17.25" customHeight="1" x14ac:dyDescent="0.25">
      <c r="K605" s="40" t="s">
        <v>269</v>
      </c>
      <c r="L605" s="41" t="s">
        <v>2936</v>
      </c>
      <c r="M605" s="41" t="s">
        <v>508</v>
      </c>
      <c r="N605" s="41" t="s">
        <v>3139</v>
      </c>
      <c r="O605" s="41" t="s">
        <v>2369</v>
      </c>
      <c r="P605" s="41" t="s">
        <v>3145</v>
      </c>
      <c r="Q605" s="42" t="s">
        <v>1343</v>
      </c>
      <c r="V605" s="39">
        <v>20023000</v>
      </c>
      <c r="Y605" s="39" t="s">
        <v>3318</v>
      </c>
      <c r="Z605" s="40" t="s">
        <v>642</v>
      </c>
      <c r="AA605" s="41" t="s">
        <v>2897</v>
      </c>
      <c r="AB605" s="41" t="s">
        <v>535</v>
      </c>
    </row>
    <row r="606" spans="11:28" ht="17.25" customHeight="1" x14ac:dyDescent="0.25">
      <c r="K606" s="40" t="s">
        <v>280</v>
      </c>
      <c r="L606" s="41" t="s">
        <v>2937</v>
      </c>
      <c r="M606" s="41" t="s">
        <v>532</v>
      </c>
      <c r="N606" s="41" t="s">
        <v>3139</v>
      </c>
      <c r="O606" s="41" t="s">
        <v>2369</v>
      </c>
      <c r="P606" s="41" t="s">
        <v>3145</v>
      </c>
      <c r="Q606" s="42" t="s">
        <v>1343</v>
      </c>
      <c r="V606" s="39">
        <v>2507</v>
      </c>
      <c r="Y606" s="39" t="s">
        <v>3319</v>
      </c>
      <c r="Z606" s="40" t="s">
        <v>296</v>
      </c>
      <c r="AA606" s="41" t="s">
        <v>3007</v>
      </c>
      <c r="AB606" s="41" t="s">
        <v>513</v>
      </c>
    </row>
    <row r="607" spans="11:28" ht="17.25" customHeight="1" x14ac:dyDescent="0.25">
      <c r="K607" s="40" t="s">
        <v>676</v>
      </c>
      <c r="L607" s="41" t="s">
        <v>2938</v>
      </c>
      <c r="M607" s="41" t="s">
        <v>523</v>
      </c>
      <c r="N607" s="41" t="s">
        <v>3139</v>
      </c>
      <c r="O607" s="41" t="s">
        <v>2369</v>
      </c>
      <c r="P607" s="41" t="s">
        <v>3145</v>
      </c>
      <c r="Q607" s="42" t="s">
        <v>1343</v>
      </c>
      <c r="V607" s="39">
        <v>2530</v>
      </c>
      <c r="Y607" s="39" t="s">
        <v>3320</v>
      </c>
      <c r="Z607" s="40" t="s">
        <v>1330</v>
      </c>
      <c r="AA607" s="41" t="s">
        <v>3092</v>
      </c>
      <c r="AB607" s="41" t="s">
        <v>508</v>
      </c>
    </row>
    <row r="608" spans="11:28" ht="17.25" customHeight="1" x14ac:dyDescent="0.25">
      <c r="K608" s="40" t="s">
        <v>275</v>
      </c>
      <c r="L608" s="41" t="s">
        <v>2939</v>
      </c>
      <c r="M608" s="41" t="s">
        <v>519</v>
      </c>
      <c r="N608" s="41" t="s">
        <v>3139</v>
      </c>
      <c r="O608" s="41" t="s">
        <v>2369</v>
      </c>
      <c r="P608" s="41" t="s">
        <v>3145</v>
      </c>
      <c r="Q608" s="42" t="s">
        <v>1343</v>
      </c>
      <c r="V608" s="39">
        <v>20017000</v>
      </c>
      <c r="Y608" s="39" t="s">
        <v>3321</v>
      </c>
      <c r="Z608" s="40" t="s">
        <v>95</v>
      </c>
      <c r="AA608" s="41" t="s">
        <v>2822</v>
      </c>
      <c r="AB608" s="41" t="s">
        <v>521</v>
      </c>
    </row>
    <row r="609" spans="11:32" ht="17.25" customHeight="1" x14ac:dyDescent="0.25">
      <c r="K609" s="40" t="s">
        <v>267</v>
      </c>
      <c r="L609" s="41" t="s">
        <v>2940</v>
      </c>
      <c r="M609" s="41" t="s">
        <v>525</v>
      </c>
      <c r="N609" s="41" t="s">
        <v>3139</v>
      </c>
      <c r="O609" s="41" t="s">
        <v>2369</v>
      </c>
      <c r="P609" s="41" t="s">
        <v>3152</v>
      </c>
      <c r="Q609" s="42" t="s">
        <v>1343</v>
      </c>
      <c r="V609" s="39">
        <v>20028000</v>
      </c>
      <c r="Y609" s="39" t="s">
        <v>3322</v>
      </c>
      <c r="Z609" s="40" t="s">
        <v>130</v>
      </c>
      <c r="AA609" s="41" t="s">
        <v>2459</v>
      </c>
      <c r="AB609" s="41" t="s">
        <v>507</v>
      </c>
    </row>
    <row r="610" spans="11:32" ht="17.25" customHeight="1" x14ac:dyDescent="0.25">
      <c r="K610" s="40" t="s">
        <v>278</v>
      </c>
      <c r="L610" s="41" t="s">
        <v>2941</v>
      </c>
      <c r="M610" s="41" t="s">
        <v>512</v>
      </c>
      <c r="N610" s="41" t="s">
        <v>3139</v>
      </c>
      <c r="O610" s="41" t="s">
        <v>2369</v>
      </c>
      <c r="P610" s="41" t="s">
        <v>3145</v>
      </c>
      <c r="Q610" s="42" t="s">
        <v>1343</v>
      </c>
      <c r="V610" s="39">
        <v>2471</v>
      </c>
      <c r="Y610" s="39" t="s">
        <v>3323</v>
      </c>
      <c r="Z610" s="40" t="s">
        <v>121</v>
      </c>
      <c r="AA610" s="41" t="s">
        <v>2443</v>
      </c>
      <c r="AB610" s="41" t="s">
        <v>507</v>
      </c>
    </row>
    <row r="611" spans="11:32" ht="17.25" customHeight="1" x14ac:dyDescent="0.25">
      <c r="K611" s="40" t="s">
        <v>295</v>
      </c>
      <c r="L611" s="41" t="s">
        <v>2942</v>
      </c>
      <c r="M611" s="41" t="s">
        <v>508</v>
      </c>
      <c r="N611" s="41" t="s">
        <v>3141</v>
      </c>
      <c r="O611" s="41" t="s">
        <v>2369</v>
      </c>
      <c r="P611" s="41" t="s">
        <v>3145</v>
      </c>
      <c r="Q611" s="42" t="s">
        <v>1343</v>
      </c>
      <c r="V611" s="39">
        <v>20012000</v>
      </c>
      <c r="Y611" s="39" t="s">
        <v>3324</v>
      </c>
      <c r="Z611" s="40" t="s">
        <v>399</v>
      </c>
      <c r="AA611" s="41" t="s">
        <v>2672</v>
      </c>
      <c r="AB611" s="41" t="s">
        <v>564</v>
      </c>
    </row>
    <row r="612" spans="11:32" ht="17.25" customHeight="1" x14ac:dyDescent="0.25">
      <c r="K612" s="40" t="s">
        <v>40</v>
      </c>
      <c r="L612" s="41" t="s">
        <v>2943</v>
      </c>
      <c r="M612" s="41" t="s">
        <v>527</v>
      </c>
      <c r="N612" s="41" t="s">
        <v>3142</v>
      </c>
      <c r="O612" s="41" t="s">
        <v>2369</v>
      </c>
      <c r="P612" s="41" t="s">
        <v>3145</v>
      </c>
      <c r="Q612" s="42" t="s">
        <v>1343</v>
      </c>
      <c r="V612" s="39">
        <v>20034000</v>
      </c>
      <c r="Y612" s="39" t="s">
        <v>3325</v>
      </c>
      <c r="Z612" s="40" t="s">
        <v>324</v>
      </c>
      <c r="AA612" s="41" t="s">
        <v>2466</v>
      </c>
      <c r="AB612" s="41" t="s">
        <v>552</v>
      </c>
    </row>
    <row r="613" spans="11:32" ht="17.25" customHeight="1" x14ac:dyDescent="0.25">
      <c r="K613" s="40" t="s">
        <v>2395</v>
      </c>
      <c r="L613" s="41" t="s">
        <v>2944</v>
      </c>
      <c r="M613" s="41" t="s">
        <v>532</v>
      </c>
      <c r="N613" s="41" t="s">
        <v>3139</v>
      </c>
      <c r="O613" s="41" t="s">
        <v>2369</v>
      </c>
      <c r="P613" s="41" t="s">
        <v>3145</v>
      </c>
      <c r="Q613" s="42" t="s">
        <v>1343</v>
      </c>
      <c r="V613" s="39">
        <v>20022000</v>
      </c>
      <c r="Y613" s="39" t="s">
        <v>3326</v>
      </c>
      <c r="Z613" s="40" t="s">
        <v>126</v>
      </c>
      <c r="AA613" s="41" t="s">
        <v>2456</v>
      </c>
      <c r="AB613" s="41" t="s">
        <v>507</v>
      </c>
    </row>
    <row r="614" spans="11:32" ht="17.25" customHeight="1" x14ac:dyDescent="0.25">
      <c r="K614" s="40" t="s">
        <v>1328</v>
      </c>
      <c r="L614" s="41" t="s">
        <v>2945</v>
      </c>
      <c r="M614" s="41" t="s">
        <v>525</v>
      </c>
      <c r="N614" s="41" t="s">
        <v>3139</v>
      </c>
      <c r="O614" s="41" t="s">
        <v>2369</v>
      </c>
      <c r="P614" s="41" t="s">
        <v>3152</v>
      </c>
      <c r="Q614" s="42" t="s">
        <v>1343</v>
      </c>
      <c r="V614" s="39">
        <v>20048000</v>
      </c>
      <c r="Y614" s="39" t="s">
        <v>3327</v>
      </c>
      <c r="Z614" s="40" t="s">
        <v>111</v>
      </c>
      <c r="AA614" s="41" t="s">
        <v>2442</v>
      </c>
      <c r="AB614" s="41" t="s">
        <v>507</v>
      </c>
    </row>
    <row r="615" spans="11:32" ht="17.25" customHeight="1" x14ac:dyDescent="0.25">
      <c r="K615" s="40" t="s">
        <v>1329</v>
      </c>
      <c r="L615" s="41" t="s">
        <v>2946</v>
      </c>
      <c r="M615" s="41" t="s">
        <v>525</v>
      </c>
      <c r="N615" s="41" t="s">
        <v>3139</v>
      </c>
      <c r="O615" s="41" t="s">
        <v>2369</v>
      </c>
      <c r="P615" s="41" t="s">
        <v>3152</v>
      </c>
      <c r="Q615" s="42" t="s">
        <v>1343</v>
      </c>
      <c r="V615" s="39">
        <v>20019000</v>
      </c>
      <c r="Y615" s="39" t="s">
        <v>3328</v>
      </c>
      <c r="Z615" s="40" t="s">
        <v>116</v>
      </c>
      <c r="AA615" s="41" t="s">
        <v>2455</v>
      </c>
      <c r="AB615" s="41" t="s">
        <v>507</v>
      </c>
    </row>
    <row r="616" spans="11:32" ht="17.25" customHeight="1" x14ac:dyDescent="0.25">
      <c r="K616" s="40" t="s">
        <v>601</v>
      </c>
      <c r="L616" s="41" t="s">
        <v>2947</v>
      </c>
      <c r="M616" s="41" t="s">
        <v>523</v>
      </c>
      <c r="N616" s="41" t="s">
        <v>3139</v>
      </c>
      <c r="O616" s="41" t="s">
        <v>2369</v>
      </c>
      <c r="P616" s="41" t="s">
        <v>3145</v>
      </c>
      <c r="Q616" s="42" t="s">
        <v>1343</v>
      </c>
      <c r="V616" s="39">
        <v>20052000</v>
      </c>
      <c r="Y616" s="39" t="s">
        <v>3330</v>
      </c>
      <c r="Z616" s="40" t="s">
        <v>127</v>
      </c>
      <c r="AA616" s="41" t="s">
        <v>2440</v>
      </c>
      <c r="AB616" s="41" t="s">
        <v>507</v>
      </c>
    </row>
    <row r="617" spans="11:32" ht="17.25" customHeight="1" x14ac:dyDescent="0.25">
      <c r="K617" s="40" t="s">
        <v>687</v>
      </c>
      <c r="L617" s="41" t="s">
        <v>2948</v>
      </c>
      <c r="M617" s="41" t="s">
        <v>525</v>
      </c>
      <c r="N617" s="41" t="s">
        <v>3139</v>
      </c>
      <c r="O617" s="41" t="s">
        <v>2369</v>
      </c>
      <c r="P617" s="41" t="s">
        <v>3152</v>
      </c>
      <c r="Q617" s="42" t="s">
        <v>1343</v>
      </c>
      <c r="V617" s="39">
        <v>20026000</v>
      </c>
      <c r="Y617" s="39" t="s">
        <v>3331</v>
      </c>
      <c r="Z617" s="40" t="s">
        <v>118</v>
      </c>
      <c r="AA617" s="41" t="s">
        <v>2444</v>
      </c>
      <c r="AB617" s="41" t="s">
        <v>507</v>
      </c>
    </row>
    <row r="618" spans="11:32" ht="17.25" customHeight="1" x14ac:dyDescent="0.25">
      <c r="K618" s="40" t="s">
        <v>434</v>
      </c>
      <c r="L618" s="41" t="s">
        <v>2949</v>
      </c>
      <c r="M618" s="41" t="s">
        <v>532</v>
      </c>
      <c r="N618" s="41" t="s">
        <v>3139</v>
      </c>
      <c r="O618" s="41" t="s">
        <v>2369</v>
      </c>
      <c r="P618" s="41" t="s">
        <v>3145</v>
      </c>
      <c r="Q618" s="42" t="s">
        <v>1343</v>
      </c>
      <c r="V618" s="39">
        <v>20047000</v>
      </c>
      <c r="Y618" s="39" t="s">
        <v>3332</v>
      </c>
      <c r="Z618" s="40" t="s">
        <v>51</v>
      </c>
      <c r="AA618" s="41" t="s">
        <v>2410</v>
      </c>
      <c r="AB618" s="41" t="s">
        <v>500</v>
      </c>
    </row>
    <row r="619" spans="11:32" ht="17.25" customHeight="1" x14ac:dyDescent="0.25">
      <c r="K619" s="40" t="s">
        <v>675</v>
      </c>
      <c r="L619" s="41" t="s">
        <v>2950</v>
      </c>
      <c r="M619" s="41" t="s">
        <v>532</v>
      </c>
      <c r="N619" s="41" t="s">
        <v>3139</v>
      </c>
      <c r="O619" s="41" t="s">
        <v>2369</v>
      </c>
      <c r="P619" s="41" t="s">
        <v>3145</v>
      </c>
      <c r="Q619" s="42" t="s">
        <v>1343</v>
      </c>
      <c r="V619" s="39">
        <v>20086000</v>
      </c>
      <c r="Y619" s="39" t="s">
        <v>3372</v>
      </c>
      <c r="Z619" s="40" t="s">
        <v>164</v>
      </c>
      <c r="AA619" s="41" t="s">
        <v>2958</v>
      </c>
      <c r="AB619" s="41" t="s">
        <v>519</v>
      </c>
      <c r="AC619" s="41"/>
      <c r="AD619" s="41"/>
      <c r="AE619" s="41"/>
      <c r="AF619" s="42"/>
    </row>
    <row r="620" spans="11:32" ht="17.25" customHeight="1" x14ac:dyDescent="0.25">
      <c r="K620" s="40" t="s">
        <v>690</v>
      </c>
      <c r="L620" s="41" t="s">
        <v>2951</v>
      </c>
      <c r="M620" s="41" t="s">
        <v>532</v>
      </c>
      <c r="N620" s="41" t="s">
        <v>3139</v>
      </c>
      <c r="O620" s="41" t="s">
        <v>2369</v>
      </c>
      <c r="P620" s="41" t="s">
        <v>3145</v>
      </c>
      <c r="Q620" s="42" t="s">
        <v>1343</v>
      </c>
      <c r="V620" s="39">
        <v>20040000</v>
      </c>
      <c r="Y620" s="39" t="s">
        <v>3373</v>
      </c>
      <c r="Z620" s="40" t="s">
        <v>27</v>
      </c>
      <c r="AA620" s="41" t="s">
        <v>2407</v>
      </c>
      <c r="AB620" s="41" t="s">
        <v>500</v>
      </c>
    </row>
    <row r="621" spans="11:32" ht="17.25" customHeight="1" x14ac:dyDescent="0.25">
      <c r="K621" s="40" t="s">
        <v>665</v>
      </c>
      <c r="L621" s="41" t="s">
        <v>2952</v>
      </c>
      <c r="M621" s="41" t="s">
        <v>532</v>
      </c>
      <c r="N621" s="41" t="s">
        <v>3139</v>
      </c>
      <c r="O621" s="41" t="s">
        <v>2369</v>
      </c>
      <c r="P621" s="41" t="s">
        <v>3145</v>
      </c>
      <c r="Q621" s="42" t="s">
        <v>1343</v>
      </c>
      <c r="V621" s="39">
        <v>20065000</v>
      </c>
      <c r="Y621" s="39" t="s">
        <v>3376</v>
      </c>
      <c r="Z621" s="40" t="s">
        <v>87</v>
      </c>
      <c r="AA621" s="41" t="s">
        <v>2413</v>
      </c>
      <c r="AB621" s="41" t="s">
        <v>500</v>
      </c>
    </row>
    <row r="622" spans="11:32" ht="17.25" customHeight="1" x14ac:dyDescent="0.25">
      <c r="K622" s="40" t="s">
        <v>165</v>
      </c>
      <c r="L622" s="41" t="s">
        <v>2953</v>
      </c>
      <c r="M622" s="41" t="s">
        <v>527</v>
      </c>
      <c r="N622" s="41" t="s">
        <v>3139</v>
      </c>
      <c r="O622" s="41" t="s">
        <v>2369</v>
      </c>
      <c r="P622" s="41" t="s">
        <v>3145</v>
      </c>
      <c r="Q622" s="42" t="s">
        <v>1343</v>
      </c>
      <c r="V622" s="39">
        <v>20045000</v>
      </c>
      <c r="Y622" s="39" t="s">
        <v>3377</v>
      </c>
      <c r="Z622" s="40" t="s">
        <v>152</v>
      </c>
      <c r="AA622" s="41" t="s">
        <v>2419</v>
      </c>
      <c r="AB622" s="41" t="s">
        <v>500</v>
      </c>
    </row>
    <row r="623" spans="11:32" ht="17.25" customHeight="1" x14ac:dyDescent="0.25">
      <c r="K623" s="40" t="s">
        <v>288</v>
      </c>
      <c r="L623" s="41" t="s">
        <v>2954</v>
      </c>
      <c r="M623" s="41" t="s">
        <v>528</v>
      </c>
      <c r="N623" s="41" t="s">
        <v>3139</v>
      </c>
      <c r="O623" s="41" t="s">
        <v>2369</v>
      </c>
      <c r="P623" s="41" t="s">
        <v>3145</v>
      </c>
      <c r="Q623" s="42" t="s">
        <v>1343</v>
      </c>
      <c r="V623" s="39">
        <v>20095000</v>
      </c>
      <c r="Y623" s="39" t="s">
        <v>3378</v>
      </c>
      <c r="Z623" s="40" t="s">
        <v>146</v>
      </c>
      <c r="AA623" s="41" t="s">
        <v>2430</v>
      </c>
      <c r="AB623" s="41" t="s">
        <v>500</v>
      </c>
    </row>
    <row r="624" spans="11:32" ht="17.25" customHeight="1" x14ac:dyDescent="0.25">
      <c r="K624" s="40" t="s">
        <v>3357</v>
      </c>
      <c r="L624" s="41" t="s">
        <v>3369</v>
      </c>
      <c r="M624" s="41" t="s">
        <v>522</v>
      </c>
      <c r="N624" s="41" t="s">
        <v>3139</v>
      </c>
      <c r="O624" s="41" t="s">
        <v>2369</v>
      </c>
      <c r="P624" s="41" t="s">
        <v>3145</v>
      </c>
      <c r="Q624" s="42" t="s">
        <v>1343</v>
      </c>
      <c r="V624" s="39">
        <v>20067000</v>
      </c>
      <c r="Y624" s="39" t="s">
        <v>3379</v>
      </c>
      <c r="Z624" s="40" t="s">
        <v>87</v>
      </c>
      <c r="AA624" s="41" t="s">
        <v>2413</v>
      </c>
      <c r="AB624" s="41" t="s">
        <v>500</v>
      </c>
    </row>
    <row r="625" spans="11:32" ht="17.25" customHeight="1" x14ac:dyDescent="0.25">
      <c r="K625" s="40" t="s">
        <v>643</v>
      </c>
      <c r="L625" s="41" t="s">
        <v>2956</v>
      </c>
      <c r="M625" s="41" t="s">
        <v>522</v>
      </c>
      <c r="N625" s="41" t="s">
        <v>3139</v>
      </c>
      <c r="O625" s="41" t="s">
        <v>2369</v>
      </c>
      <c r="P625" s="41" t="s">
        <v>3145</v>
      </c>
      <c r="Q625" s="42" t="s">
        <v>1343</v>
      </c>
      <c r="V625" s="39">
        <v>20051000</v>
      </c>
      <c r="Y625" s="39" t="s">
        <v>3381</v>
      </c>
      <c r="Z625" s="40" t="s">
        <v>129</v>
      </c>
      <c r="AA625" s="41" t="s">
        <v>2458</v>
      </c>
      <c r="AB625" s="41" t="s">
        <v>507</v>
      </c>
    </row>
    <row r="626" spans="11:32" ht="17.25" customHeight="1" x14ac:dyDescent="0.25">
      <c r="K626" s="40" t="s">
        <v>431</v>
      </c>
      <c r="L626" s="41" t="s">
        <v>2957</v>
      </c>
      <c r="M626" s="41" t="s">
        <v>527</v>
      </c>
      <c r="N626" s="41" t="s">
        <v>3139</v>
      </c>
      <c r="O626" s="41" t="s">
        <v>2369</v>
      </c>
      <c r="P626" s="41" t="s">
        <v>3145</v>
      </c>
      <c r="Q626" s="42" t="s">
        <v>1343</v>
      </c>
      <c r="V626" s="39">
        <v>20076000</v>
      </c>
      <c r="Y626" s="39" t="s">
        <v>3382</v>
      </c>
      <c r="Z626" s="40" t="s">
        <v>58</v>
      </c>
      <c r="AA626" s="41" t="s">
        <v>2510</v>
      </c>
      <c r="AB626" s="41" t="s">
        <v>502</v>
      </c>
    </row>
    <row r="627" spans="11:32" ht="17.25" customHeight="1" x14ac:dyDescent="0.25">
      <c r="K627" s="40" t="s">
        <v>164</v>
      </c>
      <c r="L627" s="41" t="s">
        <v>2958</v>
      </c>
      <c r="M627" s="41" t="s">
        <v>519</v>
      </c>
      <c r="N627" s="41" t="s">
        <v>3139</v>
      </c>
      <c r="O627" s="41" t="s">
        <v>2369</v>
      </c>
      <c r="P627" s="41" t="s">
        <v>3145</v>
      </c>
      <c r="Q627" s="42" t="s">
        <v>1343</v>
      </c>
      <c r="V627" s="39">
        <v>20016000</v>
      </c>
      <c r="Y627" s="39" t="s">
        <v>3383</v>
      </c>
      <c r="Z627" s="40" t="s">
        <v>459</v>
      </c>
      <c r="AA627" s="41" t="s">
        <v>2700</v>
      </c>
      <c r="AB627" s="41" t="s">
        <v>545</v>
      </c>
    </row>
    <row r="628" spans="11:32" ht="17.25" customHeight="1" x14ac:dyDescent="0.25">
      <c r="K628" s="40" t="s">
        <v>610</v>
      </c>
      <c r="L628" s="41" t="s">
        <v>2959</v>
      </c>
      <c r="M628" s="41" t="s">
        <v>513</v>
      </c>
      <c r="N628" s="41" t="s">
        <v>3139</v>
      </c>
      <c r="O628" s="41" t="s">
        <v>2369</v>
      </c>
      <c r="P628" s="41" t="s">
        <v>3145</v>
      </c>
      <c r="Q628" s="42" t="s">
        <v>1343</v>
      </c>
      <c r="V628" s="39">
        <v>20062000</v>
      </c>
      <c r="Y628" s="39" t="s">
        <v>3384</v>
      </c>
      <c r="Z628" s="40" t="s">
        <v>30</v>
      </c>
      <c r="AA628" s="41" t="s">
        <v>2509</v>
      </c>
      <c r="AB628" s="41" t="s">
        <v>545</v>
      </c>
    </row>
    <row r="629" spans="11:32" ht="17.25" customHeight="1" x14ac:dyDescent="0.25">
      <c r="K629" s="40" t="s">
        <v>511</v>
      </c>
      <c r="L629" s="41" t="s">
        <v>2960</v>
      </c>
      <c r="M629" s="41" t="s">
        <v>510</v>
      </c>
      <c r="N629" s="41" t="s">
        <v>3139</v>
      </c>
      <c r="O629" s="41" t="s">
        <v>2369</v>
      </c>
      <c r="P629" s="41" t="s">
        <v>3145</v>
      </c>
      <c r="Q629" s="42" t="s">
        <v>1343</v>
      </c>
      <c r="V629" s="39">
        <v>20010000</v>
      </c>
      <c r="Y629" s="39" t="s">
        <v>3385</v>
      </c>
      <c r="Z629" s="40" t="s">
        <v>133</v>
      </c>
      <c r="AA629" s="41" t="s">
        <v>2422</v>
      </c>
      <c r="AB629" s="41" t="s">
        <v>500</v>
      </c>
    </row>
    <row r="630" spans="11:32" ht="17.25" customHeight="1" x14ac:dyDescent="0.25">
      <c r="K630" s="40" t="s">
        <v>282</v>
      </c>
      <c r="L630" s="41" t="s">
        <v>2961</v>
      </c>
      <c r="M630" s="41" t="s">
        <v>534</v>
      </c>
      <c r="N630" s="41" t="s">
        <v>3139</v>
      </c>
      <c r="O630" s="41" t="s">
        <v>2369</v>
      </c>
      <c r="P630" s="41" t="s">
        <v>3145</v>
      </c>
      <c r="Q630" s="42" t="s">
        <v>1343</v>
      </c>
      <c r="V630" s="39">
        <v>20037000</v>
      </c>
      <c r="Y630" s="39" t="s">
        <v>3390</v>
      </c>
      <c r="Z630" s="40" t="s">
        <v>23</v>
      </c>
      <c r="AA630" s="41" t="s">
        <v>2452</v>
      </c>
      <c r="AB630" s="41" t="s">
        <v>507</v>
      </c>
    </row>
    <row r="631" spans="11:32" ht="17.25" customHeight="1" x14ac:dyDescent="0.25">
      <c r="K631" s="40" t="s">
        <v>639</v>
      </c>
      <c r="L631" s="41" t="s">
        <v>2962</v>
      </c>
      <c r="M631" s="41" t="s">
        <v>520</v>
      </c>
      <c r="N631" s="41" t="s">
        <v>3139</v>
      </c>
      <c r="O631" s="41" t="s">
        <v>2369</v>
      </c>
      <c r="P631" s="41" t="s">
        <v>3145</v>
      </c>
      <c r="Q631" s="42" t="s">
        <v>1343</v>
      </c>
      <c r="V631" s="39">
        <v>2501</v>
      </c>
      <c r="Y631" s="39" t="s">
        <v>3479</v>
      </c>
      <c r="Z631" s="40" t="s">
        <v>71</v>
      </c>
      <c r="AA631" s="41" t="s">
        <v>2505</v>
      </c>
      <c r="AB631" s="41" t="s">
        <v>713</v>
      </c>
    </row>
    <row r="632" spans="11:32" ht="17.25" customHeight="1" x14ac:dyDescent="0.25">
      <c r="K632" s="40" t="s">
        <v>234</v>
      </c>
      <c r="L632" s="41" t="s">
        <v>2963</v>
      </c>
      <c r="M632" s="41" t="s">
        <v>527</v>
      </c>
      <c r="N632" s="41" t="s">
        <v>3139</v>
      </c>
      <c r="O632" s="41" t="s">
        <v>2369</v>
      </c>
      <c r="P632" s="41" t="s">
        <v>3145</v>
      </c>
      <c r="Q632" s="42" t="s">
        <v>1343</v>
      </c>
      <c r="V632" s="39">
        <v>20099000</v>
      </c>
      <c r="Y632" s="39" t="s">
        <v>3391</v>
      </c>
      <c r="Z632" s="40" t="s">
        <v>152</v>
      </c>
      <c r="AA632" s="41" t="s">
        <v>2419</v>
      </c>
      <c r="AB632" s="41" t="s">
        <v>500</v>
      </c>
    </row>
    <row r="633" spans="11:32" ht="17.25" customHeight="1" x14ac:dyDescent="0.25">
      <c r="K633" s="40" t="s">
        <v>478</v>
      </c>
      <c r="L633" s="41" t="s">
        <v>2964</v>
      </c>
      <c r="M633" s="41" t="s">
        <v>499</v>
      </c>
      <c r="N633" s="41" t="s">
        <v>3141</v>
      </c>
      <c r="O633" s="41" t="s">
        <v>2369</v>
      </c>
      <c r="P633" s="41" t="s">
        <v>3145</v>
      </c>
      <c r="Q633" s="42" t="s">
        <v>1343</v>
      </c>
      <c r="V633" s="39">
        <v>20038000</v>
      </c>
      <c r="Y633" s="39" t="s">
        <v>3392</v>
      </c>
      <c r="Z633" s="40" t="s">
        <v>152</v>
      </c>
      <c r="AA633" s="41" t="s">
        <v>2419</v>
      </c>
      <c r="AB633" s="41" t="s">
        <v>500</v>
      </c>
    </row>
    <row r="634" spans="11:32" ht="17.25" customHeight="1" x14ac:dyDescent="0.25">
      <c r="K634" s="40" t="s">
        <v>222</v>
      </c>
      <c r="L634" s="41" t="s">
        <v>2965</v>
      </c>
      <c r="M634" s="41" t="s">
        <v>499</v>
      </c>
      <c r="N634" s="41" t="s">
        <v>3139</v>
      </c>
      <c r="O634" s="41" t="s">
        <v>2369</v>
      </c>
      <c r="P634" s="41" t="s">
        <v>3145</v>
      </c>
      <c r="Q634" s="42" t="s">
        <v>1343</v>
      </c>
      <c r="V634" s="39">
        <v>20100000</v>
      </c>
      <c r="Y634" s="39" t="s">
        <v>3393</v>
      </c>
      <c r="Z634" s="40" t="s">
        <v>120</v>
      </c>
      <c r="AA634" s="41" t="s">
        <v>2446</v>
      </c>
      <c r="AB634" s="41" t="s">
        <v>507</v>
      </c>
    </row>
    <row r="635" spans="11:32" ht="17.25" customHeight="1" x14ac:dyDescent="0.25">
      <c r="K635" s="40" t="s">
        <v>649</v>
      </c>
      <c r="L635" s="41" t="s">
        <v>2966</v>
      </c>
      <c r="M635" s="41" t="s">
        <v>513</v>
      </c>
      <c r="N635" s="41" t="s">
        <v>3139</v>
      </c>
      <c r="O635" s="41" t="s">
        <v>2369</v>
      </c>
      <c r="P635" s="41" t="s">
        <v>3145</v>
      </c>
      <c r="Q635" s="42" t="s">
        <v>1343</v>
      </c>
      <c r="V635" s="39">
        <v>20011000</v>
      </c>
      <c r="Y635" s="39" t="s">
        <v>3394</v>
      </c>
      <c r="Z635" s="40" t="s">
        <v>110</v>
      </c>
      <c r="AA635" s="41" t="s">
        <v>2451</v>
      </c>
      <c r="AB635" s="41" t="s">
        <v>507</v>
      </c>
    </row>
    <row r="636" spans="11:32" ht="17.25" customHeight="1" x14ac:dyDescent="0.25">
      <c r="K636" s="40" t="s">
        <v>247</v>
      </c>
      <c r="L636" s="41" t="s">
        <v>2967</v>
      </c>
      <c r="M636" s="41" t="s">
        <v>512</v>
      </c>
      <c r="N636" s="41" t="s">
        <v>3139</v>
      </c>
      <c r="O636" s="41" t="s">
        <v>2369</v>
      </c>
      <c r="P636" s="41" t="s">
        <v>3145</v>
      </c>
      <c r="Q636" s="42" t="s">
        <v>1343</v>
      </c>
      <c r="V636" s="39">
        <v>20097000</v>
      </c>
      <c r="Y636" s="39" t="s">
        <v>3396</v>
      </c>
      <c r="Z636" s="40" t="s">
        <v>193</v>
      </c>
      <c r="AA636" s="41" t="s">
        <v>2428</v>
      </c>
      <c r="AB636" s="41" t="s">
        <v>500</v>
      </c>
    </row>
    <row r="637" spans="11:32" ht="17.25" customHeight="1" x14ac:dyDescent="0.25">
      <c r="K637" s="40" t="s">
        <v>290</v>
      </c>
      <c r="L637" s="41" t="s">
        <v>2968</v>
      </c>
      <c r="M637" s="41" t="s">
        <v>531</v>
      </c>
      <c r="N637" s="41" t="s">
        <v>3139</v>
      </c>
      <c r="O637" s="41" t="s">
        <v>2369</v>
      </c>
      <c r="P637" s="41" t="s">
        <v>3145</v>
      </c>
      <c r="Q637" s="42" t="s">
        <v>1343</v>
      </c>
      <c r="V637" s="39">
        <v>20101000</v>
      </c>
      <c r="Y637" s="39" t="s">
        <v>3397</v>
      </c>
      <c r="Z637" s="40" t="s">
        <v>133</v>
      </c>
      <c r="AA637" s="41" t="s">
        <v>2422</v>
      </c>
      <c r="AB637" s="41" t="s">
        <v>500</v>
      </c>
    </row>
    <row r="638" spans="11:32" ht="17.25" customHeight="1" x14ac:dyDescent="0.25">
      <c r="K638" s="40" t="s">
        <v>272</v>
      </c>
      <c r="L638" s="41" t="s">
        <v>2969</v>
      </c>
      <c r="M638" s="41" t="s">
        <v>519</v>
      </c>
      <c r="N638" s="41" t="s">
        <v>3139</v>
      </c>
      <c r="O638" s="41" t="s">
        <v>2369</v>
      </c>
      <c r="P638" s="41" t="s">
        <v>3145</v>
      </c>
      <c r="Q638" s="42" t="s">
        <v>1343</v>
      </c>
      <c r="V638" s="39">
        <v>2502</v>
      </c>
      <c r="Y638" s="39" t="s">
        <v>3398</v>
      </c>
      <c r="Z638" s="40" t="s">
        <v>71</v>
      </c>
      <c r="AA638" s="41" t="s">
        <v>2505</v>
      </c>
      <c r="AB638" s="41" t="s">
        <v>713</v>
      </c>
    </row>
    <row r="639" spans="11:32" ht="17.25" customHeight="1" x14ac:dyDescent="0.25">
      <c r="K639" s="40" t="s">
        <v>255</v>
      </c>
      <c r="L639" s="41" t="s">
        <v>2970</v>
      </c>
      <c r="M639" s="41" t="s">
        <v>518</v>
      </c>
      <c r="N639" s="41" t="s">
        <v>3141</v>
      </c>
      <c r="O639" s="41" t="s">
        <v>2369</v>
      </c>
      <c r="P639" s="41" t="s">
        <v>3145</v>
      </c>
      <c r="Q639" s="42" t="s">
        <v>1343</v>
      </c>
      <c r="V639" s="39">
        <v>20031000</v>
      </c>
      <c r="Y639" s="39" t="s">
        <v>3401</v>
      </c>
      <c r="Z639" s="40" t="s">
        <v>23</v>
      </c>
      <c r="AA639" s="41" t="s">
        <v>2452</v>
      </c>
      <c r="AB639" s="41" t="s">
        <v>507</v>
      </c>
    </row>
    <row r="640" spans="11:32" ht="17.25" customHeight="1" x14ac:dyDescent="0.25">
      <c r="K640" s="40" t="s">
        <v>410</v>
      </c>
      <c r="L640" s="41" t="s">
        <v>2971</v>
      </c>
      <c r="M640" s="41" t="s">
        <v>522</v>
      </c>
      <c r="N640" s="41" t="s">
        <v>3139</v>
      </c>
      <c r="O640" s="41" t="s">
        <v>2369</v>
      </c>
      <c r="P640" s="41" t="s">
        <v>3145</v>
      </c>
      <c r="Q640" s="42" t="s">
        <v>1343</v>
      </c>
      <c r="V640" s="39">
        <v>20081000</v>
      </c>
      <c r="Y640" s="39" t="s">
        <v>3403</v>
      </c>
      <c r="Z640" s="40" t="s">
        <v>51</v>
      </c>
      <c r="AA640" s="41" t="s">
        <v>2410</v>
      </c>
      <c r="AB640" s="41" t="s">
        <v>500</v>
      </c>
      <c r="AC640" s="41" t="s">
        <v>3142</v>
      </c>
      <c r="AD640" s="41" t="s">
        <v>2369</v>
      </c>
      <c r="AE640" s="41" t="s">
        <v>3145</v>
      </c>
      <c r="AF640" s="42" t="s">
        <v>500</v>
      </c>
    </row>
    <row r="641" spans="11:32" ht="17.25" customHeight="1" x14ac:dyDescent="0.25">
      <c r="K641" s="40" t="s">
        <v>423</v>
      </c>
      <c r="L641" s="41" t="s">
        <v>2972</v>
      </c>
      <c r="M641" s="41" t="s">
        <v>499</v>
      </c>
      <c r="N641" s="41" t="s">
        <v>3139</v>
      </c>
      <c r="O641" s="41" t="s">
        <v>2369</v>
      </c>
      <c r="P641" s="41" t="s">
        <v>3145</v>
      </c>
      <c r="Q641" s="42" t="s">
        <v>1343</v>
      </c>
      <c r="V641" s="39">
        <v>20109000</v>
      </c>
      <c r="Y641" s="39" t="s">
        <v>3404</v>
      </c>
      <c r="Z641" s="40" t="s">
        <v>135</v>
      </c>
      <c r="AA641" s="41" t="s">
        <v>2423</v>
      </c>
      <c r="AB641" s="41" t="s">
        <v>500</v>
      </c>
      <c r="AC641" s="41" t="s">
        <v>3139</v>
      </c>
      <c r="AD641" s="41" t="s">
        <v>2369</v>
      </c>
      <c r="AE641" s="41" t="s">
        <v>3145</v>
      </c>
      <c r="AF641" s="42" t="s">
        <v>500</v>
      </c>
    </row>
    <row r="642" spans="11:32" ht="17.25" customHeight="1" x14ac:dyDescent="0.25">
      <c r="K642" s="40" t="s">
        <v>271</v>
      </c>
      <c r="L642" s="41" t="s">
        <v>3423</v>
      </c>
      <c r="M642" s="41" t="s">
        <v>518</v>
      </c>
      <c r="N642" s="41" t="s">
        <v>3139</v>
      </c>
      <c r="O642" s="41" t="s">
        <v>2369</v>
      </c>
      <c r="P642" s="41" t="s">
        <v>3145</v>
      </c>
      <c r="Q642" s="42" t="s">
        <v>1343</v>
      </c>
      <c r="V642" s="39">
        <v>20082000</v>
      </c>
      <c r="Y642" s="39" t="s">
        <v>3405</v>
      </c>
      <c r="Z642" s="40" t="s">
        <v>3358</v>
      </c>
      <c r="AA642" s="41" t="s">
        <v>3370</v>
      </c>
      <c r="AB642" s="41" t="s">
        <v>519</v>
      </c>
      <c r="AC642" s="41" t="s">
        <v>3139</v>
      </c>
      <c r="AD642" s="41" t="s">
        <v>2369</v>
      </c>
      <c r="AE642" s="41" t="s">
        <v>3145</v>
      </c>
      <c r="AF642" s="42" t="s">
        <v>1343</v>
      </c>
    </row>
    <row r="643" spans="11:32" ht="17.25" customHeight="1" x14ac:dyDescent="0.25">
      <c r="K643" s="40" t="s">
        <v>229</v>
      </c>
      <c r="L643" s="41" t="s">
        <v>2974</v>
      </c>
      <c r="M643" s="41" t="s">
        <v>526</v>
      </c>
      <c r="N643" s="41" t="s">
        <v>3139</v>
      </c>
      <c r="O643" s="41" t="s">
        <v>2369</v>
      </c>
      <c r="P643" s="41" t="s">
        <v>3145</v>
      </c>
      <c r="Q643" s="42" t="s">
        <v>1343</v>
      </c>
      <c r="V643" s="39">
        <v>20102000</v>
      </c>
      <c r="Y643" s="39" t="s">
        <v>3406</v>
      </c>
      <c r="Z643" s="40" t="s">
        <v>125</v>
      </c>
      <c r="AA643" s="41" t="s">
        <v>2441</v>
      </c>
      <c r="AB643" s="41" t="s">
        <v>507</v>
      </c>
    </row>
    <row r="644" spans="11:32" ht="17.25" customHeight="1" x14ac:dyDescent="0.25">
      <c r="K644" s="40" t="s">
        <v>287</v>
      </c>
      <c r="L644" s="41" t="s">
        <v>2975</v>
      </c>
      <c r="M644" s="41" t="s">
        <v>528</v>
      </c>
      <c r="N644" s="41" t="s">
        <v>3139</v>
      </c>
      <c r="O644" s="41" t="s">
        <v>2369</v>
      </c>
      <c r="P644" s="41" t="s">
        <v>3145</v>
      </c>
      <c r="Q644" s="42" t="s">
        <v>1343</v>
      </c>
      <c r="V644" s="39">
        <v>20108000</v>
      </c>
      <c r="Y644" s="39" t="s">
        <v>3407</v>
      </c>
      <c r="Z644" s="40" t="s">
        <v>194</v>
      </c>
      <c r="AA644" s="41" t="s">
        <v>2427</v>
      </c>
      <c r="AB644" s="41" t="s">
        <v>500</v>
      </c>
      <c r="AC644" s="41" t="s">
        <v>3139</v>
      </c>
      <c r="AD644" s="41" t="s">
        <v>2369</v>
      </c>
      <c r="AE644" s="41" t="s">
        <v>3145</v>
      </c>
      <c r="AF644" s="42" t="s">
        <v>500</v>
      </c>
    </row>
    <row r="645" spans="11:32" ht="17.25" customHeight="1" x14ac:dyDescent="0.25">
      <c r="K645" s="40" t="s">
        <v>298</v>
      </c>
      <c r="L645" s="41" t="s">
        <v>2976</v>
      </c>
      <c r="M645" s="41" t="s">
        <v>526</v>
      </c>
      <c r="N645" s="41" t="s">
        <v>3139</v>
      </c>
      <c r="O645" s="41" t="s">
        <v>2369</v>
      </c>
      <c r="P645" s="41" t="s">
        <v>3145</v>
      </c>
      <c r="Q645" s="42" t="s">
        <v>1343</v>
      </c>
      <c r="V645" s="39">
        <v>20114000</v>
      </c>
      <c r="Y645" s="39" t="s">
        <v>3408</v>
      </c>
      <c r="Z645" s="40" t="s">
        <v>3399</v>
      </c>
      <c r="AA645" s="41" t="s">
        <v>3400</v>
      </c>
      <c r="AB645" s="41" t="s">
        <v>546</v>
      </c>
      <c r="AC645" s="41" t="s">
        <v>3142</v>
      </c>
      <c r="AD645" s="41" t="s">
        <v>2369</v>
      </c>
      <c r="AE645" s="41" t="s">
        <v>3140</v>
      </c>
      <c r="AF645" s="42" t="s">
        <v>1341</v>
      </c>
    </row>
    <row r="646" spans="11:32" ht="17.25" customHeight="1" x14ac:dyDescent="0.25">
      <c r="K646" s="40" t="s">
        <v>472</v>
      </c>
      <c r="L646" s="41" t="s">
        <v>2977</v>
      </c>
      <c r="M646" s="41" t="s">
        <v>513</v>
      </c>
      <c r="N646" s="41" t="s">
        <v>3139</v>
      </c>
      <c r="O646" s="41" t="s">
        <v>2369</v>
      </c>
      <c r="P646" s="41" t="s">
        <v>3145</v>
      </c>
      <c r="Q646" s="42" t="s">
        <v>1343</v>
      </c>
      <c r="V646" s="39">
        <v>20043000</v>
      </c>
      <c r="Y646" s="39" t="s">
        <v>3409</v>
      </c>
      <c r="Z646" s="40" t="s">
        <v>1324</v>
      </c>
      <c r="AA646" s="41" t="s">
        <v>2846</v>
      </c>
      <c r="AB646" s="41" t="s">
        <v>532</v>
      </c>
      <c r="AC646" s="41" t="s">
        <v>3141</v>
      </c>
      <c r="AD646" s="41" t="s">
        <v>2369</v>
      </c>
      <c r="AE646" s="41" t="s">
        <v>3145</v>
      </c>
      <c r="AF646" s="42" t="s">
        <v>1343</v>
      </c>
    </row>
    <row r="647" spans="11:32" ht="17.25" customHeight="1" x14ac:dyDescent="0.25">
      <c r="K647" s="40" t="s">
        <v>421</v>
      </c>
      <c r="L647" s="41" t="s">
        <v>2978</v>
      </c>
      <c r="M647" s="41" t="s">
        <v>534</v>
      </c>
      <c r="N647" s="41" t="s">
        <v>3139</v>
      </c>
      <c r="O647" s="41" t="s">
        <v>2369</v>
      </c>
      <c r="P647" s="41" t="s">
        <v>3145</v>
      </c>
      <c r="Q647" s="42" t="s">
        <v>1343</v>
      </c>
      <c r="V647" s="39">
        <v>20052000</v>
      </c>
      <c r="Y647" s="39" t="s">
        <v>3411</v>
      </c>
      <c r="Z647" s="40" t="s">
        <v>127</v>
      </c>
      <c r="AA647" s="41" t="s">
        <v>2440</v>
      </c>
      <c r="AB647" s="41" t="s">
        <v>507</v>
      </c>
    </row>
    <row r="648" spans="11:32" ht="17.25" customHeight="1" x14ac:dyDescent="0.25">
      <c r="K648" s="40" t="s">
        <v>274</v>
      </c>
      <c r="L648" s="41" t="s">
        <v>2979</v>
      </c>
      <c r="M648" s="41" t="s">
        <v>526</v>
      </c>
      <c r="N648" s="41" t="s">
        <v>3141</v>
      </c>
      <c r="O648" s="41" t="s">
        <v>2369</v>
      </c>
      <c r="P648" s="41" t="s">
        <v>3145</v>
      </c>
      <c r="Q648" s="42" t="s">
        <v>1343</v>
      </c>
      <c r="V648" s="39">
        <v>20009000</v>
      </c>
      <c r="Y648" s="39" t="s">
        <v>3412</v>
      </c>
      <c r="Z648" s="40" t="s">
        <v>128</v>
      </c>
      <c r="AA648" s="41" t="s">
        <v>2460</v>
      </c>
      <c r="AB648" s="41" t="s">
        <v>507</v>
      </c>
      <c r="AC648" s="41" t="s">
        <v>3139</v>
      </c>
      <c r="AD648" s="41" t="s">
        <v>2369</v>
      </c>
      <c r="AE648" s="41" t="s">
        <v>3140</v>
      </c>
      <c r="AF648" s="42" t="s">
        <v>15</v>
      </c>
    </row>
    <row r="649" spans="11:32" ht="17.25" customHeight="1" x14ac:dyDescent="0.25">
      <c r="K649" s="40" t="s">
        <v>424</v>
      </c>
      <c r="L649" s="41" t="s">
        <v>2980</v>
      </c>
      <c r="M649" s="41" t="s">
        <v>514</v>
      </c>
      <c r="N649" s="41" t="s">
        <v>3139</v>
      </c>
      <c r="O649" s="41" t="s">
        <v>2369</v>
      </c>
      <c r="P649" s="41" t="s">
        <v>3145</v>
      </c>
      <c r="Q649" s="42" t="s">
        <v>1343</v>
      </c>
      <c r="V649" s="39">
        <v>20018000</v>
      </c>
      <c r="Y649" s="39" t="s">
        <v>3413</v>
      </c>
      <c r="Z649" s="40" t="s">
        <v>116</v>
      </c>
      <c r="AA649" s="41" t="s">
        <v>2455</v>
      </c>
      <c r="AB649" s="41" t="s">
        <v>507</v>
      </c>
    </row>
    <row r="650" spans="11:32" ht="17.25" customHeight="1" x14ac:dyDescent="0.25">
      <c r="K650" s="40" t="s">
        <v>246</v>
      </c>
      <c r="L650" s="41" t="s">
        <v>2981</v>
      </c>
      <c r="M650" s="41" t="s">
        <v>514</v>
      </c>
      <c r="N650" s="41" t="s">
        <v>3141</v>
      </c>
      <c r="O650" s="41" t="s">
        <v>2369</v>
      </c>
      <c r="P650" s="41" t="s">
        <v>3145</v>
      </c>
      <c r="Q650" s="42" t="s">
        <v>1343</v>
      </c>
      <c r="V650" s="39">
        <v>20106000</v>
      </c>
      <c r="Y650" s="39" t="s">
        <v>3414</v>
      </c>
      <c r="Z650" s="40" t="s">
        <v>36</v>
      </c>
      <c r="AA650" s="41" t="s">
        <v>2521</v>
      </c>
      <c r="AB650" s="41" t="s">
        <v>550</v>
      </c>
      <c r="AC650" s="41" t="s">
        <v>3142</v>
      </c>
      <c r="AD650" s="41" t="s">
        <v>2369</v>
      </c>
      <c r="AE650" s="41" t="s">
        <v>3140</v>
      </c>
      <c r="AF650" s="42" t="s">
        <v>1341</v>
      </c>
    </row>
    <row r="651" spans="11:32" ht="17.25" customHeight="1" x14ac:dyDescent="0.25">
      <c r="K651" s="40" t="s">
        <v>3447</v>
      </c>
      <c r="L651" s="41" t="s">
        <v>2982</v>
      </c>
      <c r="M651" s="41" t="s">
        <v>520</v>
      </c>
      <c r="N651" s="41" t="s">
        <v>3139</v>
      </c>
      <c r="O651" s="41" t="s">
        <v>2369</v>
      </c>
      <c r="P651" s="41" t="s">
        <v>3145</v>
      </c>
      <c r="Q651" s="42" t="s">
        <v>1343</v>
      </c>
      <c r="V651" s="39">
        <v>20077000</v>
      </c>
      <c r="Y651" s="39" t="s">
        <v>3415</v>
      </c>
      <c r="Z651" s="40" t="s">
        <v>395</v>
      </c>
      <c r="AA651" s="41" t="s">
        <v>2620</v>
      </c>
      <c r="AB651" s="41" t="s">
        <v>550</v>
      </c>
      <c r="AC651" s="41" t="s">
        <v>3139</v>
      </c>
      <c r="AD651" s="41" t="s">
        <v>2369</v>
      </c>
      <c r="AE651" s="41" t="s">
        <v>3140</v>
      </c>
      <c r="AF651" s="42" t="s">
        <v>1341</v>
      </c>
    </row>
    <row r="652" spans="11:32" ht="17.25" customHeight="1" x14ac:dyDescent="0.25">
      <c r="K652" s="40" t="s">
        <v>273</v>
      </c>
      <c r="L652" s="41" t="s">
        <v>2983</v>
      </c>
      <c r="M652" s="41" t="s">
        <v>531</v>
      </c>
      <c r="N652" s="41" t="s">
        <v>3139</v>
      </c>
      <c r="O652" s="41" t="s">
        <v>2369</v>
      </c>
      <c r="P652" s="41" t="s">
        <v>3145</v>
      </c>
      <c r="Q652" s="42" t="s">
        <v>1343</v>
      </c>
      <c r="V652" s="39">
        <v>20068000</v>
      </c>
      <c r="Y652" s="39" t="s">
        <v>3416</v>
      </c>
      <c r="Z652" s="40" t="s">
        <v>305</v>
      </c>
      <c r="AA652" s="41" t="s">
        <v>2771</v>
      </c>
      <c r="AB652" s="41" t="s">
        <v>536</v>
      </c>
      <c r="AC652" s="41" t="s">
        <v>3139</v>
      </c>
      <c r="AD652" s="41" t="s">
        <v>2369</v>
      </c>
      <c r="AE652" s="41" t="s">
        <v>3152</v>
      </c>
      <c r="AF652" s="42" t="s">
        <v>1342</v>
      </c>
    </row>
    <row r="653" spans="11:32" ht="17.25" customHeight="1" x14ac:dyDescent="0.25">
      <c r="K653" s="40" t="s">
        <v>731</v>
      </c>
      <c r="L653" s="41" t="s">
        <v>2984</v>
      </c>
      <c r="M653" s="41" t="s">
        <v>522</v>
      </c>
      <c r="N653" s="41" t="s">
        <v>3139</v>
      </c>
      <c r="O653" s="41" t="s">
        <v>2369</v>
      </c>
      <c r="P653" s="41" t="s">
        <v>3145</v>
      </c>
      <c r="Q653" s="42" t="s">
        <v>1343</v>
      </c>
      <c r="V653" s="39">
        <v>20070000</v>
      </c>
      <c r="Y653" s="39" t="s">
        <v>3417</v>
      </c>
      <c r="Z653" s="40" t="s">
        <v>169</v>
      </c>
      <c r="AA653" s="41" t="s">
        <v>2632</v>
      </c>
      <c r="AB653" s="41" t="s">
        <v>550</v>
      </c>
      <c r="AC653" s="41" t="s">
        <v>3139</v>
      </c>
      <c r="AD653" s="41" t="s">
        <v>2369</v>
      </c>
      <c r="AE653" s="41" t="s">
        <v>3140</v>
      </c>
      <c r="AF653" s="42" t="s">
        <v>1341</v>
      </c>
    </row>
    <row r="654" spans="11:32" ht="17.25" customHeight="1" x14ac:dyDescent="0.25">
      <c r="K654" s="40" t="s">
        <v>430</v>
      </c>
      <c r="L654" s="41" t="s">
        <v>2985</v>
      </c>
      <c r="M654" s="41" t="s">
        <v>534</v>
      </c>
      <c r="N654" s="41" t="s">
        <v>3139</v>
      </c>
      <c r="O654" s="41" t="s">
        <v>2369</v>
      </c>
      <c r="P654" s="41" t="s">
        <v>3145</v>
      </c>
      <c r="Q654" s="42" t="s">
        <v>1343</v>
      </c>
      <c r="V654" s="39">
        <v>20108000</v>
      </c>
      <c r="Y654" s="39" t="s">
        <v>3418</v>
      </c>
      <c r="Z654" s="40" t="s">
        <v>194</v>
      </c>
      <c r="AA654" s="41" t="s">
        <v>2427</v>
      </c>
      <c r="AB654" s="41" t="s">
        <v>500</v>
      </c>
      <c r="AC654" s="41" t="s">
        <v>3139</v>
      </c>
      <c r="AD654" s="41" t="s">
        <v>2369</v>
      </c>
      <c r="AE654" s="41" t="s">
        <v>3145</v>
      </c>
      <c r="AF654" s="42" t="s">
        <v>500</v>
      </c>
    </row>
    <row r="655" spans="11:32" ht="17.25" customHeight="1" x14ac:dyDescent="0.25">
      <c r="K655" s="40" t="s">
        <v>299</v>
      </c>
      <c r="L655" s="41" t="s">
        <v>2986</v>
      </c>
      <c r="M655" s="41" t="s">
        <v>526</v>
      </c>
      <c r="N655" s="41" t="s">
        <v>3141</v>
      </c>
      <c r="O655" s="41" t="s">
        <v>2369</v>
      </c>
      <c r="P655" s="41" t="s">
        <v>3145</v>
      </c>
      <c r="Q655" s="42" t="s">
        <v>1343</v>
      </c>
      <c r="V655" s="39">
        <v>20090000</v>
      </c>
      <c r="Y655" s="39" t="s">
        <v>3419</v>
      </c>
      <c r="Z655" s="40" t="s">
        <v>45</v>
      </c>
      <c r="AA655" s="41" t="s">
        <v>2818</v>
      </c>
      <c r="AB655" s="41" t="s">
        <v>518</v>
      </c>
      <c r="AC655" s="41" t="s">
        <v>3142</v>
      </c>
      <c r="AD655" s="41" t="s">
        <v>2369</v>
      </c>
      <c r="AE655" s="41" t="s">
        <v>3145</v>
      </c>
      <c r="AF655" s="42" t="s">
        <v>1343</v>
      </c>
    </row>
    <row r="656" spans="11:32" ht="17.25" customHeight="1" x14ac:dyDescent="0.25">
      <c r="K656" s="40" t="s">
        <v>244</v>
      </c>
      <c r="L656" s="41" t="s">
        <v>2987</v>
      </c>
      <c r="M656" s="41" t="s">
        <v>521</v>
      </c>
      <c r="N656" s="41" t="s">
        <v>3139</v>
      </c>
      <c r="O656" s="41" t="s">
        <v>2369</v>
      </c>
      <c r="P656" s="41" t="s">
        <v>3145</v>
      </c>
      <c r="Q656" s="42" t="s">
        <v>1343</v>
      </c>
      <c r="V656" s="39">
        <v>20057000</v>
      </c>
      <c r="Y656" s="39" t="s">
        <v>3420</v>
      </c>
      <c r="Z656" s="40" t="s">
        <v>618</v>
      </c>
      <c r="AA656" s="41" t="s">
        <v>3061</v>
      </c>
      <c r="AB656" s="41" t="s">
        <v>523</v>
      </c>
      <c r="AC656" s="41" t="s">
        <v>3139</v>
      </c>
      <c r="AD656" s="41" t="s">
        <v>2369</v>
      </c>
      <c r="AE656" s="41" t="s">
        <v>3145</v>
      </c>
      <c r="AF656" s="42" t="s">
        <v>1343</v>
      </c>
    </row>
    <row r="657" spans="11:32" ht="17.25" customHeight="1" x14ac:dyDescent="0.25">
      <c r="K657" s="40" t="s">
        <v>457</v>
      </c>
      <c r="L657" s="41" t="s">
        <v>2988</v>
      </c>
      <c r="M657" s="41" t="s">
        <v>521</v>
      </c>
      <c r="N657" s="41" t="s">
        <v>3139</v>
      </c>
      <c r="O657" s="41" t="s">
        <v>2369</v>
      </c>
      <c r="P657" s="41" t="s">
        <v>3145</v>
      </c>
      <c r="Q657" s="42" t="s">
        <v>1343</v>
      </c>
      <c r="V657" s="39">
        <v>20072000</v>
      </c>
      <c r="Y657" s="39" t="s">
        <v>3421</v>
      </c>
      <c r="Z657" s="40" t="s">
        <v>515</v>
      </c>
      <c r="AA657" s="41" t="s">
        <v>2996</v>
      </c>
      <c r="AB657" s="41" t="s">
        <v>499</v>
      </c>
      <c r="AC657" s="41" t="s">
        <v>3139</v>
      </c>
      <c r="AD657" s="41" t="s">
        <v>2369</v>
      </c>
      <c r="AE657" s="41" t="s">
        <v>3145</v>
      </c>
      <c r="AF657" s="42" t="s">
        <v>1343</v>
      </c>
    </row>
    <row r="658" spans="11:32" ht="17.25" customHeight="1" x14ac:dyDescent="0.25">
      <c r="K658" s="40" t="s">
        <v>240</v>
      </c>
      <c r="L658" s="41" t="s">
        <v>2989</v>
      </c>
      <c r="M658" s="41" t="s">
        <v>532</v>
      </c>
      <c r="N658" s="41" t="s">
        <v>3139</v>
      </c>
      <c r="O658" s="41" t="s">
        <v>2369</v>
      </c>
      <c r="P658" s="41" t="s">
        <v>3145</v>
      </c>
      <c r="Q658" s="42" t="s">
        <v>1343</v>
      </c>
      <c r="V658" s="39">
        <v>20116000</v>
      </c>
      <c r="Y658" s="39" t="s">
        <v>3422</v>
      </c>
      <c r="Z658" s="40" t="s">
        <v>231</v>
      </c>
      <c r="AA658" s="41" t="s">
        <v>2873</v>
      </c>
      <c r="AB658" s="41" t="s">
        <v>518</v>
      </c>
      <c r="AC658" s="41" t="s">
        <v>3141</v>
      </c>
      <c r="AD658" s="41" t="s">
        <v>2369</v>
      </c>
      <c r="AE658" s="41" t="s">
        <v>3145</v>
      </c>
      <c r="AF658" s="42" t="s">
        <v>1343</v>
      </c>
    </row>
    <row r="659" spans="11:32" ht="17.25" customHeight="1" x14ac:dyDescent="0.25">
      <c r="K659" s="40" t="s">
        <v>243</v>
      </c>
      <c r="L659" s="41" t="s">
        <v>2990</v>
      </c>
      <c r="M659" s="41" t="s">
        <v>527</v>
      </c>
      <c r="N659" s="41" t="s">
        <v>3139</v>
      </c>
      <c r="O659" s="41" t="s">
        <v>2369</v>
      </c>
      <c r="P659" s="41" t="s">
        <v>3145</v>
      </c>
      <c r="Q659" s="42" t="s">
        <v>1343</v>
      </c>
      <c r="V659" s="39">
        <v>20047000</v>
      </c>
      <c r="Y659" s="39" t="s">
        <v>3424</v>
      </c>
      <c r="Z659" s="40" t="s">
        <v>51</v>
      </c>
      <c r="AA659" s="41" t="s">
        <v>2410</v>
      </c>
      <c r="AB659" s="41" t="s">
        <v>500</v>
      </c>
      <c r="AC659" s="41" t="s">
        <v>3142</v>
      </c>
      <c r="AD659" s="41" t="s">
        <v>2369</v>
      </c>
      <c r="AE659" s="41" t="s">
        <v>3145</v>
      </c>
      <c r="AF659" s="42" t="s">
        <v>500</v>
      </c>
    </row>
    <row r="660" spans="11:32" ht="17.25" customHeight="1" x14ac:dyDescent="0.25">
      <c r="K660" s="40" t="s">
        <v>641</v>
      </c>
      <c r="L660" s="41" t="s">
        <v>2991</v>
      </c>
      <c r="M660" s="41" t="s">
        <v>532</v>
      </c>
      <c r="N660" s="41" t="s">
        <v>3139</v>
      </c>
      <c r="O660" s="41" t="s">
        <v>2369</v>
      </c>
      <c r="P660" s="41" t="s">
        <v>3145</v>
      </c>
      <c r="Q660" s="42" t="s">
        <v>1343</v>
      </c>
      <c r="V660" s="39">
        <v>20027000</v>
      </c>
      <c r="Y660" s="39" t="s">
        <v>3425</v>
      </c>
      <c r="Z660" s="40" t="s">
        <v>118</v>
      </c>
      <c r="AA660" s="41" t="s">
        <v>2444</v>
      </c>
      <c r="AB660" s="41" t="s">
        <v>507</v>
      </c>
    </row>
    <row r="661" spans="11:32" ht="17.25" customHeight="1" x14ac:dyDescent="0.25">
      <c r="K661" s="40" t="s">
        <v>286</v>
      </c>
      <c r="L661" s="41" t="s">
        <v>2992</v>
      </c>
      <c r="M661" s="41" t="s">
        <v>531</v>
      </c>
      <c r="N661" s="41" t="s">
        <v>3139</v>
      </c>
      <c r="O661" s="41" t="s">
        <v>2369</v>
      </c>
      <c r="P661" s="41" t="s">
        <v>3145</v>
      </c>
      <c r="Q661" s="42" t="s">
        <v>1343</v>
      </c>
      <c r="V661" s="39">
        <v>20069000</v>
      </c>
      <c r="Y661" s="39" t="s">
        <v>3426</v>
      </c>
      <c r="Z661" s="40" t="s">
        <v>323</v>
      </c>
      <c r="AA661" s="41" t="s">
        <v>2886</v>
      </c>
      <c r="AB661" s="41" t="s">
        <v>535</v>
      </c>
      <c r="AC661" s="41" t="s">
        <v>3141</v>
      </c>
      <c r="AD661" s="41" t="s">
        <v>2369</v>
      </c>
      <c r="AE661" s="41" t="s">
        <v>3145</v>
      </c>
      <c r="AF661" s="42" t="s">
        <v>1343</v>
      </c>
    </row>
    <row r="662" spans="11:32" ht="17.25" customHeight="1" x14ac:dyDescent="0.25">
      <c r="K662" s="40" t="s">
        <v>476</v>
      </c>
      <c r="L662" s="41" t="s">
        <v>2993</v>
      </c>
      <c r="M662" s="41" t="s">
        <v>534</v>
      </c>
      <c r="N662" s="41" t="s">
        <v>3139</v>
      </c>
      <c r="O662" s="41" t="s">
        <v>2369</v>
      </c>
      <c r="P662" s="41" t="s">
        <v>3145</v>
      </c>
      <c r="Q662" s="42" t="s">
        <v>1343</v>
      </c>
      <c r="V662" s="39">
        <v>20042000</v>
      </c>
      <c r="Y662" s="39" t="s">
        <v>3427</v>
      </c>
      <c r="Z662" s="40" t="s">
        <v>415</v>
      </c>
      <c r="AA662" s="41" t="s">
        <v>2767</v>
      </c>
      <c r="AB662" s="41" t="s">
        <v>537</v>
      </c>
      <c r="AC662" s="41" t="s">
        <v>3139</v>
      </c>
      <c r="AD662" s="41" t="s">
        <v>2369</v>
      </c>
      <c r="AE662" s="41" t="s">
        <v>3152</v>
      </c>
      <c r="AF662" s="42" t="s">
        <v>1342</v>
      </c>
    </row>
    <row r="663" spans="11:32" ht="17.25" customHeight="1" x14ac:dyDescent="0.25">
      <c r="K663" s="40" t="s">
        <v>249</v>
      </c>
      <c r="L663" s="41" t="s">
        <v>2994</v>
      </c>
      <c r="M663" s="41" t="s">
        <v>528</v>
      </c>
      <c r="N663" s="41" t="s">
        <v>3139</v>
      </c>
      <c r="O663" s="41" t="s">
        <v>2369</v>
      </c>
      <c r="P663" s="41" t="s">
        <v>3145</v>
      </c>
      <c r="Q663" s="42" t="s">
        <v>1343</v>
      </c>
      <c r="V663" s="39">
        <v>20080000</v>
      </c>
      <c r="Y663" s="39" t="s">
        <v>3428</v>
      </c>
      <c r="Z663" s="40" t="s">
        <v>312</v>
      </c>
      <c r="AA663" s="41" t="s">
        <v>2805</v>
      </c>
      <c r="AB663" s="41" t="s">
        <v>535</v>
      </c>
      <c r="AC663" s="41" t="s">
        <v>3139</v>
      </c>
      <c r="AD663" s="41" t="s">
        <v>2369</v>
      </c>
      <c r="AE663" s="41" t="s">
        <v>3145</v>
      </c>
      <c r="AF663" s="42" t="s">
        <v>1343</v>
      </c>
    </row>
    <row r="664" spans="11:32" ht="17.25" customHeight="1" x14ac:dyDescent="0.25">
      <c r="K664" s="40" t="s">
        <v>516</v>
      </c>
      <c r="L664" s="41" t="s">
        <v>2995</v>
      </c>
      <c r="M664" s="41" t="s">
        <v>499</v>
      </c>
      <c r="N664" s="41" t="s">
        <v>3139</v>
      </c>
      <c r="O664" s="41" t="s">
        <v>2369</v>
      </c>
      <c r="P664" s="41" t="s">
        <v>3145</v>
      </c>
      <c r="Q664" s="42" t="s">
        <v>1343</v>
      </c>
      <c r="V664" s="39">
        <v>20014000</v>
      </c>
      <c r="Y664" s="39" t="s">
        <v>3429</v>
      </c>
      <c r="Z664" s="40" t="s">
        <v>612</v>
      </c>
      <c r="AA664" s="41" t="s">
        <v>3091</v>
      </c>
      <c r="AB664" s="41" t="s">
        <v>1322</v>
      </c>
      <c r="AC664" s="41" t="s">
        <v>3139</v>
      </c>
      <c r="AD664" s="41" t="s">
        <v>2369</v>
      </c>
      <c r="AE664" s="41" t="s">
        <v>3145</v>
      </c>
      <c r="AF664" s="42" t="s">
        <v>1343</v>
      </c>
    </row>
    <row r="665" spans="11:32" ht="17.25" customHeight="1" x14ac:dyDescent="0.25">
      <c r="K665" s="40" t="s">
        <v>515</v>
      </c>
      <c r="L665" s="41" t="s">
        <v>2996</v>
      </c>
      <c r="M665" s="41" t="s">
        <v>499</v>
      </c>
      <c r="N665" s="41" t="s">
        <v>3139</v>
      </c>
      <c r="O665" s="41" t="s">
        <v>2369</v>
      </c>
      <c r="P665" s="41" t="s">
        <v>3145</v>
      </c>
      <c r="Q665" s="42" t="s">
        <v>1343</v>
      </c>
      <c r="V665" s="39">
        <v>20115000</v>
      </c>
      <c r="Y665" s="39" t="s">
        <v>3430</v>
      </c>
      <c r="Z665" s="40" t="s">
        <v>36</v>
      </c>
      <c r="AA665" s="41" t="s">
        <v>2521</v>
      </c>
      <c r="AB665" s="41" t="s">
        <v>550</v>
      </c>
      <c r="AC665" s="41" t="s">
        <v>3142</v>
      </c>
      <c r="AD665" s="41" t="s">
        <v>2369</v>
      </c>
      <c r="AE665" s="41" t="s">
        <v>3140</v>
      </c>
      <c r="AF665" s="42" t="s">
        <v>1341</v>
      </c>
    </row>
    <row r="666" spans="11:32" ht="17.25" customHeight="1" x14ac:dyDescent="0.25">
      <c r="K666" s="40" t="s">
        <v>450</v>
      </c>
      <c r="L666" s="41" t="s">
        <v>2997</v>
      </c>
      <c r="M666" s="41" t="s">
        <v>529</v>
      </c>
      <c r="N666" s="41" t="s">
        <v>3139</v>
      </c>
      <c r="O666" s="41" t="s">
        <v>2369</v>
      </c>
      <c r="P666" s="41" t="s">
        <v>3145</v>
      </c>
      <c r="Q666" s="42" t="s">
        <v>1343</v>
      </c>
      <c r="V666" s="39">
        <v>20110000</v>
      </c>
      <c r="Y666" s="39" t="s">
        <v>3431</v>
      </c>
      <c r="Z666" s="40" t="s">
        <v>198</v>
      </c>
      <c r="AA666" s="41" t="s">
        <v>2420</v>
      </c>
      <c r="AB666" s="41" t="s">
        <v>500</v>
      </c>
      <c r="AC666" s="41" t="s">
        <v>3139</v>
      </c>
      <c r="AD666" s="41" t="s">
        <v>2369</v>
      </c>
      <c r="AE666" s="41" t="s">
        <v>3145</v>
      </c>
      <c r="AF666" s="42" t="s">
        <v>500</v>
      </c>
    </row>
    <row r="667" spans="11:32" ht="17.25" customHeight="1" x14ac:dyDescent="0.25">
      <c r="K667" s="40" t="s">
        <v>673</v>
      </c>
      <c r="L667" s="41" t="s">
        <v>2998</v>
      </c>
      <c r="M667" s="41" t="s">
        <v>1322</v>
      </c>
      <c r="N667" s="41" t="s">
        <v>3141</v>
      </c>
      <c r="O667" s="41" t="s">
        <v>2369</v>
      </c>
      <c r="P667" s="41" t="s">
        <v>3145</v>
      </c>
      <c r="Q667" s="42" t="s">
        <v>1343</v>
      </c>
      <c r="V667" s="39">
        <v>20117000</v>
      </c>
      <c r="Y667" s="39" t="s">
        <v>3432</v>
      </c>
      <c r="Z667" s="40" t="s">
        <v>90</v>
      </c>
      <c r="AA667" s="41" t="s">
        <v>2484</v>
      </c>
      <c r="AB667" s="41" t="s">
        <v>544</v>
      </c>
      <c r="AC667" s="41" t="s">
        <v>3142</v>
      </c>
      <c r="AD667" s="41" t="s">
        <v>2369</v>
      </c>
      <c r="AE667" s="41" t="s">
        <v>3140</v>
      </c>
      <c r="AF667" s="42" t="s">
        <v>1341</v>
      </c>
    </row>
    <row r="668" spans="11:32" ht="17.25" customHeight="1" x14ac:dyDescent="0.25">
      <c r="K668" s="40" t="s">
        <v>291</v>
      </c>
      <c r="L668" s="41" t="s">
        <v>2999</v>
      </c>
      <c r="M668" s="41" t="s">
        <v>499</v>
      </c>
      <c r="N668" s="41" t="s">
        <v>3139</v>
      </c>
      <c r="O668" s="41" t="s">
        <v>2369</v>
      </c>
      <c r="P668" s="41" t="s">
        <v>3145</v>
      </c>
      <c r="Q668" s="42" t="s">
        <v>1343</v>
      </c>
      <c r="V668" s="39">
        <v>20120000</v>
      </c>
      <c r="Y668" s="39" t="s">
        <v>3433</v>
      </c>
      <c r="Z668" s="40" t="s">
        <v>575</v>
      </c>
      <c r="AA668" s="41" t="s">
        <v>3032</v>
      </c>
      <c r="AB668" s="41" t="s">
        <v>525</v>
      </c>
      <c r="AC668" s="41" t="s">
        <v>3139</v>
      </c>
      <c r="AD668" s="41" t="s">
        <v>2369</v>
      </c>
      <c r="AE668" s="41" t="s">
        <v>3152</v>
      </c>
      <c r="AF668" s="42" t="s">
        <v>1343</v>
      </c>
    </row>
    <row r="669" spans="11:32" ht="17.25" customHeight="1" x14ac:dyDescent="0.25">
      <c r="K669" s="40" t="s">
        <v>265</v>
      </c>
      <c r="L669" s="41" t="s">
        <v>3000</v>
      </c>
      <c r="M669" s="41" t="s">
        <v>529</v>
      </c>
      <c r="N669" s="41" t="s">
        <v>3139</v>
      </c>
      <c r="O669" s="41" t="s">
        <v>2369</v>
      </c>
      <c r="P669" s="41" t="s">
        <v>3145</v>
      </c>
      <c r="Q669" s="42" t="s">
        <v>1343</v>
      </c>
      <c r="V669" s="39">
        <v>20073000</v>
      </c>
      <c r="Y669" s="39" t="s">
        <v>3434</v>
      </c>
      <c r="Z669" s="40" t="s">
        <v>120</v>
      </c>
      <c r="AA669" s="41" t="s">
        <v>2446</v>
      </c>
      <c r="AB669" s="41" t="s">
        <v>507</v>
      </c>
    </row>
    <row r="670" spans="11:32" ht="17.25" customHeight="1" x14ac:dyDescent="0.25">
      <c r="K670" s="40" t="s">
        <v>262</v>
      </c>
      <c r="L670" s="41" t="s">
        <v>3001</v>
      </c>
      <c r="M670" s="41" t="s">
        <v>513</v>
      </c>
      <c r="N670" s="41" t="s">
        <v>3139</v>
      </c>
      <c r="O670" s="41" t="s">
        <v>2369</v>
      </c>
      <c r="P670" s="41" t="s">
        <v>3145</v>
      </c>
      <c r="Q670" s="42" t="s">
        <v>1343</v>
      </c>
      <c r="V670" s="39">
        <v>20074000</v>
      </c>
      <c r="Y670" s="39" t="s">
        <v>3435</v>
      </c>
      <c r="Z670" s="40" t="s">
        <v>120</v>
      </c>
      <c r="AA670" s="41" t="s">
        <v>2446</v>
      </c>
      <c r="AB670" s="41" t="s">
        <v>507</v>
      </c>
    </row>
    <row r="671" spans="11:32" ht="17.25" customHeight="1" x14ac:dyDescent="0.25">
      <c r="K671" s="40" t="s">
        <v>264</v>
      </c>
      <c r="L671" s="41" t="s">
        <v>3002</v>
      </c>
      <c r="M671" s="41" t="s">
        <v>509</v>
      </c>
      <c r="N671" s="41" t="s">
        <v>3139</v>
      </c>
      <c r="O671" s="41" t="s">
        <v>2369</v>
      </c>
      <c r="P671" s="41" t="s">
        <v>3145</v>
      </c>
      <c r="Q671" s="42" t="s">
        <v>1343</v>
      </c>
      <c r="V671" s="39">
        <v>20050000</v>
      </c>
      <c r="Y671" s="39" t="s">
        <v>3437</v>
      </c>
      <c r="Z671" s="40" t="s">
        <v>114</v>
      </c>
      <c r="AA671" s="41" t="s">
        <v>2448</v>
      </c>
      <c r="AB671" s="41" t="s">
        <v>507</v>
      </c>
    </row>
    <row r="672" spans="11:32" ht="17.25" customHeight="1" x14ac:dyDescent="0.25">
      <c r="K672" s="40" t="s">
        <v>422</v>
      </c>
      <c r="L672" s="41" t="s">
        <v>3003</v>
      </c>
      <c r="M672" s="41" t="s">
        <v>510</v>
      </c>
      <c r="N672" s="41" t="s">
        <v>3139</v>
      </c>
      <c r="O672" s="41" t="s">
        <v>2369</v>
      </c>
      <c r="P672" s="41" t="s">
        <v>3145</v>
      </c>
      <c r="Q672" s="42" t="s">
        <v>1343</v>
      </c>
      <c r="V672" s="39">
        <v>20119000</v>
      </c>
      <c r="Y672" s="39" t="s">
        <v>3436</v>
      </c>
      <c r="Z672" s="40" t="s">
        <v>699</v>
      </c>
      <c r="AA672" s="41" t="s">
        <v>2866</v>
      </c>
      <c r="AB672" s="41" t="s">
        <v>525</v>
      </c>
      <c r="AC672" s="41" t="s">
        <v>3141</v>
      </c>
    </row>
    <row r="673" spans="11:32" ht="17.25" customHeight="1" x14ac:dyDescent="0.25">
      <c r="K673" s="40" t="s">
        <v>704</v>
      </c>
      <c r="L673" s="41" t="s">
        <v>3004</v>
      </c>
      <c r="M673" s="41" t="s">
        <v>520</v>
      </c>
      <c r="N673" s="41" t="s">
        <v>3139</v>
      </c>
      <c r="O673" s="41" t="s">
        <v>2369</v>
      </c>
      <c r="P673" s="41" t="s">
        <v>3145</v>
      </c>
      <c r="Q673" s="42" t="s">
        <v>1343</v>
      </c>
      <c r="V673" s="39">
        <v>20029000</v>
      </c>
      <c r="Y673" s="39" t="s">
        <v>3438</v>
      </c>
      <c r="Z673" s="40" t="s">
        <v>270</v>
      </c>
      <c r="AA673" s="41" t="s">
        <v>2859</v>
      </c>
      <c r="AB673" s="41" t="s">
        <v>508</v>
      </c>
      <c r="AC673" s="41" t="s">
        <v>3141</v>
      </c>
      <c r="AD673" s="41" t="s">
        <v>2369</v>
      </c>
      <c r="AE673" s="41" t="s">
        <v>3145</v>
      </c>
      <c r="AF673" s="42" t="s">
        <v>1343</v>
      </c>
    </row>
    <row r="674" spans="11:32" ht="17.25" customHeight="1" x14ac:dyDescent="0.25">
      <c r="K674" s="40" t="s">
        <v>253</v>
      </c>
      <c r="L674" s="41" t="s">
        <v>3005</v>
      </c>
      <c r="M674" s="41" t="s">
        <v>533</v>
      </c>
      <c r="N674" s="41" t="s">
        <v>3139</v>
      </c>
      <c r="O674" s="41" t="s">
        <v>2369</v>
      </c>
      <c r="P674" s="41" t="s">
        <v>3145</v>
      </c>
      <c r="Q674" s="42" t="s">
        <v>1343</v>
      </c>
      <c r="V674" s="39">
        <v>20127000</v>
      </c>
      <c r="Y674" s="39" t="s">
        <v>3440</v>
      </c>
      <c r="Z674" s="40" t="s">
        <v>66</v>
      </c>
      <c r="AA674" s="41" t="s">
        <v>2485</v>
      </c>
      <c r="AB674" s="41" t="s">
        <v>544</v>
      </c>
      <c r="AC674" s="41" t="s">
        <v>3142</v>
      </c>
    </row>
    <row r="675" spans="11:32" ht="17.25" customHeight="1" x14ac:dyDescent="0.25">
      <c r="K675" s="40" t="s">
        <v>239</v>
      </c>
      <c r="L675" s="41" t="s">
        <v>3006</v>
      </c>
      <c r="M675" s="41" t="s">
        <v>526</v>
      </c>
      <c r="N675" s="41" t="s">
        <v>3139</v>
      </c>
      <c r="O675" s="41" t="s">
        <v>2369</v>
      </c>
      <c r="P675" s="41" t="s">
        <v>3145</v>
      </c>
      <c r="Q675" s="42" t="s">
        <v>1343</v>
      </c>
      <c r="V675" s="39">
        <v>20078000</v>
      </c>
      <c r="Y675" s="39" t="s">
        <v>3441</v>
      </c>
      <c r="Z675" s="40" t="s">
        <v>114</v>
      </c>
      <c r="AA675" s="41" t="s">
        <v>2448</v>
      </c>
      <c r="AB675" s="41" t="s">
        <v>507</v>
      </c>
    </row>
    <row r="676" spans="11:32" ht="17.25" customHeight="1" x14ac:dyDescent="0.25">
      <c r="K676" s="40" t="s">
        <v>296</v>
      </c>
      <c r="L676" s="41" t="s">
        <v>3007</v>
      </c>
      <c r="M676" s="41" t="s">
        <v>513</v>
      </c>
      <c r="N676" s="41" t="s">
        <v>3139</v>
      </c>
      <c r="O676" s="41" t="s">
        <v>2369</v>
      </c>
      <c r="P676" s="41" t="s">
        <v>3145</v>
      </c>
      <c r="Q676" s="42" t="s">
        <v>1343</v>
      </c>
      <c r="V676" s="39">
        <v>20128000</v>
      </c>
      <c r="Y676" s="39" t="s">
        <v>3442</v>
      </c>
      <c r="Z676" s="40" t="s">
        <v>781</v>
      </c>
      <c r="AA676" s="41" t="s">
        <v>2746</v>
      </c>
      <c r="AB676" s="41" t="s">
        <v>806</v>
      </c>
      <c r="AC676" s="41" t="s">
        <v>3142</v>
      </c>
      <c r="AD676" s="41" t="s">
        <v>2369</v>
      </c>
      <c r="AE676" s="41" t="s">
        <v>3152</v>
      </c>
      <c r="AF676" s="42" t="s">
        <v>1342</v>
      </c>
    </row>
    <row r="677" spans="11:32" ht="17.25" customHeight="1" x14ac:dyDescent="0.25">
      <c r="K677" s="40" t="s">
        <v>428</v>
      </c>
      <c r="L677" s="41" t="s">
        <v>3008</v>
      </c>
      <c r="M677" s="41" t="s">
        <v>534</v>
      </c>
      <c r="N677" s="41" t="s">
        <v>3139</v>
      </c>
      <c r="O677" s="41" t="s">
        <v>2369</v>
      </c>
      <c r="P677" s="41" t="s">
        <v>3145</v>
      </c>
      <c r="Q677" s="42" t="s">
        <v>1343</v>
      </c>
      <c r="V677" s="39">
        <v>20133000</v>
      </c>
      <c r="Y677" s="39" t="s">
        <v>3443</v>
      </c>
      <c r="Z677" s="40" t="s">
        <v>203</v>
      </c>
      <c r="AA677" s="41" t="s">
        <v>2844</v>
      </c>
      <c r="AB677" s="41" t="s">
        <v>519</v>
      </c>
      <c r="AC677" s="41" t="s">
        <v>3141</v>
      </c>
      <c r="AD677" s="41" t="s">
        <v>2369</v>
      </c>
      <c r="AE677" s="41" t="s">
        <v>3145</v>
      </c>
      <c r="AF677" s="42" t="s">
        <v>1343</v>
      </c>
    </row>
    <row r="678" spans="11:32" ht="17.25" customHeight="1" x14ac:dyDescent="0.25">
      <c r="K678" s="40" t="s">
        <v>139</v>
      </c>
      <c r="L678" s="41" t="s">
        <v>3009</v>
      </c>
      <c r="M678" s="41" t="s">
        <v>499</v>
      </c>
      <c r="N678" s="41" t="s">
        <v>3139</v>
      </c>
      <c r="O678" s="41" t="s">
        <v>2369</v>
      </c>
      <c r="P678" s="41" t="s">
        <v>3145</v>
      </c>
      <c r="Q678" s="42" t="s">
        <v>1343</v>
      </c>
      <c r="V678" s="39">
        <v>20013000</v>
      </c>
      <c r="Y678" s="39" t="s">
        <v>3444</v>
      </c>
      <c r="Z678" s="45" t="s">
        <v>72</v>
      </c>
      <c r="AA678" s="45" t="s">
        <v>1322</v>
      </c>
      <c r="AB678" s="44" t="s">
        <v>1343</v>
      </c>
    </row>
    <row r="679" spans="11:32" ht="17.25" customHeight="1" x14ac:dyDescent="0.25">
      <c r="K679" s="40" t="s">
        <v>475</v>
      </c>
      <c r="L679" s="41" t="s">
        <v>3010</v>
      </c>
      <c r="M679" s="41" t="s">
        <v>526</v>
      </c>
      <c r="N679" s="41" t="s">
        <v>3139</v>
      </c>
      <c r="O679" s="41" t="s">
        <v>2369</v>
      </c>
      <c r="P679" s="41" t="s">
        <v>3145</v>
      </c>
      <c r="Q679" s="42" t="s">
        <v>1343</v>
      </c>
      <c r="V679" s="39">
        <v>20122000</v>
      </c>
      <c r="Y679" s="39" t="s">
        <v>3445</v>
      </c>
      <c r="Z679" s="40" t="s">
        <v>220</v>
      </c>
      <c r="AA679" s="41" t="s">
        <v>2919</v>
      </c>
      <c r="AB679" s="41" t="s">
        <v>530</v>
      </c>
      <c r="AC679" s="41" t="s">
        <v>3139</v>
      </c>
      <c r="AD679" s="41" t="s">
        <v>2369</v>
      </c>
      <c r="AE679" s="41" t="s">
        <v>3145</v>
      </c>
      <c r="AF679" s="42" t="s">
        <v>1343</v>
      </c>
    </row>
    <row r="680" spans="11:32" ht="17.25" customHeight="1" x14ac:dyDescent="0.25">
      <c r="K680" s="40" t="s">
        <v>678</v>
      </c>
      <c r="L680" s="41" t="s">
        <v>3011</v>
      </c>
      <c r="M680" s="41" t="s">
        <v>522</v>
      </c>
      <c r="N680" s="41" t="s">
        <v>3139</v>
      </c>
      <c r="O680" s="41" t="s">
        <v>2369</v>
      </c>
      <c r="P680" s="41" t="s">
        <v>3145</v>
      </c>
      <c r="Q680" s="42" t="s">
        <v>1343</v>
      </c>
      <c r="V680" s="39">
        <v>20121000</v>
      </c>
      <c r="Y680" s="39" t="s">
        <v>3446</v>
      </c>
      <c r="Z680" s="45" t="s">
        <v>2355</v>
      </c>
      <c r="AA680" s="45" t="s">
        <v>522</v>
      </c>
      <c r="AB680" s="44" t="s">
        <v>1343</v>
      </c>
    </row>
    <row r="681" spans="11:32" ht="17.25" customHeight="1" x14ac:dyDescent="0.25">
      <c r="K681" s="40" t="s">
        <v>172</v>
      </c>
      <c r="L681" s="41" t="s">
        <v>3012</v>
      </c>
      <c r="M681" s="41" t="s">
        <v>531</v>
      </c>
      <c r="N681" s="41" t="s">
        <v>3139</v>
      </c>
      <c r="O681" s="41" t="s">
        <v>2369</v>
      </c>
      <c r="P681" s="41" t="s">
        <v>3145</v>
      </c>
      <c r="Q681" s="42" t="s">
        <v>1343</v>
      </c>
      <c r="V681" s="39">
        <v>20054000</v>
      </c>
      <c r="Y681" s="39" t="s">
        <v>3448</v>
      </c>
      <c r="Z681" s="40" t="s">
        <v>47</v>
      </c>
      <c r="AA681" s="41" t="s">
        <v>2408</v>
      </c>
      <c r="AB681" s="41" t="s">
        <v>500</v>
      </c>
      <c r="AC681" s="41" t="s">
        <v>3142</v>
      </c>
      <c r="AD681" s="41" t="s">
        <v>2369</v>
      </c>
      <c r="AE681" s="41" t="s">
        <v>3145</v>
      </c>
      <c r="AF681" s="42" t="s">
        <v>500</v>
      </c>
    </row>
    <row r="682" spans="11:32" ht="17.25" customHeight="1" x14ac:dyDescent="0.25">
      <c r="K682" s="40" t="s">
        <v>257</v>
      </c>
      <c r="L682" s="41" t="s">
        <v>3013</v>
      </c>
      <c r="M682" s="41" t="s">
        <v>528</v>
      </c>
      <c r="N682" s="41" t="s">
        <v>3139</v>
      </c>
      <c r="O682" s="41" t="s">
        <v>2369</v>
      </c>
      <c r="P682" s="41" t="s">
        <v>3145</v>
      </c>
      <c r="Q682" s="42" t="s">
        <v>1343</v>
      </c>
      <c r="V682" s="39">
        <v>20145000</v>
      </c>
      <c r="Y682" s="39" t="s">
        <v>3477</v>
      </c>
      <c r="Z682" s="40" t="s">
        <v>464</v>
      </c>
      <c r="AA682" s="41" t="s">
        <v>2750</v>
      </c>
      <c r="AB682" s="41" t="s">
        <v>536</v>
      </c>
      <c r="AC682" s="41" t="s">
        <v>3139</v>
      </c>
      <c r="AD682" s="41" t="s">
        <v>2369</v>
      </c>
      <c r="AE682" s="41" t="s">
        <v>3152</v>
      </c>
      <c r="AF682" s="42" t="s">
        <v>1342</v>
      </c>
    </row>
    <row r="683" spans="11:32" ht="17.25" customHeight="1" x14ac:dyDescent="0.25">
      <c r="K683" s="40" t="s">
        <v>242</v>
      </c>
      <c r="L683" s="41" t="s">
        <v>3014</v>
      </c>
      <c r="M683" s="41" t="s">
        <v>526</v>
      </c>
      <c r="N683" s="41" t="s">
        <v>3139</v>
      </c>
      <c r="O683" s="41" t="s">
        <v>2369</v>
      </c>
      <c r="P683" s="41" t="s">
        <v>3145</v>
      </c>
      <c r="Q683" s="42" t="s">
        <v>1343</v>
      </c>
      <c r="V683" s="39">
        <v>20124000</v>
      </c>
      <c r="Y683" s="39" t="s">
        <v>3478</v>
      </c>
      <c r="Z683" s="40" t="s">
        <v>120</v>
      </c>
      <c r="AA683" s="41" t="s">
        <v>2446</v>
      </c>
      <c r="AB683" s="41" t="s">
        <v>507</v>
      </c>
    </row>
    <row r="684" spans="11:32" ht="17.25" customHeight="1" x14ac:dyDescent="0.25">
      <c r="K684" s="40" t="s">
        <v>226</v>
      </c>
      <c r="L684" s="41" t="s">
        <v>3015</v>
      </c>
      <c r="M684" s="41" t="s">
        <v>527</v>
      </c>
      <c r="N684" s="41" t="s">
        <v>3139</v>
      </c>
      <c r="O684" s="41" t="s">
        <v>2369</v>
      </c>
      <c r="P684" s="41" t="s">
        <v>3145</v>
      </c>
      <c r="Q684" s="42" t="s">
        <v>1343</v>
      </c>
      <c r="V684" s="39">
        <v>20082000</v>
      </c>
      <c r="Y684" s="39" t="s">
        <v>3480</v>
      </c>
      <c r="Z684" s="40" t="s">
        <v>3358</v>
      </c>
      <c r="AA684" s="41" t="s">
        <v>3370</v>
      </c>
      <c r="AB684" s="41" t="s">
        <v>519</v>
      </c>
      <c r="AC684" s="41" t="s">
        <v>3139</v>
      </c>
      <c r="AD684" s="41" t="s">
        <v>2369</v>
      </c>
      <c r="AE684" s="41" t="s">
        <v>3145</v>
      </c>
      <c r="AF684" s="42" t="s">
        <v>1343</v>
      </c>
    </row>
    <row r="685" spans="11:32" ht="17.25" customHeight="1" x14ac:dyDescent="0.25">
      <c r="K685" s="40" t="s">
        <v>216</v>
      </c>
      <c r="L685" s="41" t="s">
        <v>3016</v>
      </c>
      <c r="M685" s="41" t="s">
        <v>522</v>
      </c>
      <c r="N685" s="41" t="s">
        <v>3139</v>
      </c>
      <c r="O685" s="41" t="s">
        <v>2369</v>
      </c>
      <c r="P685" s="41" t="s">
        <v>3145</v>
      </c>
      <c r="Q685" s="42" t="s">
        <v>1343</v>
      </c>
      <c r="V685" s="39">
        <v>20140000</v>
      </c>
      <c r="Y685" s="39" t="s">
        <v>3481</v>
      </c>
      <c r="Z685" s="40" t="s">
        <v>146</v>
      </c>
      <c r="AA685" s="41" t="s">
        <v>2430</v>
      </c>
      <c r="AB685" s="41" t="s">
        <v>500</v>
      </c>
      <c r="AC685" s="41" t="s">
        <v>3139</v>
      </c>
      <c r="AD685" s="41" t="s">
        <v>2369</v>
      </c>
      <c r="AE685" s="41" t="s">
        <v>3145</v>
      </c>
      <c r="AF685" s="42" t="s">
        <v>500</v>
      </c>
    </row>
    <row r="686" spans="11:32" ht="17.25" customHeight="1" x14ac:dyDescent="0.25">
      <c r="K686" s="40" t="s">
        <v>292</v>
      </c>
      <c r="L686" s="41" t="s">
        <v>3017</v>
      </c>
      <c r="M686" s="41" t="s">
        <v>528</v>
      </c>
      <c r="N686" s="41" t="s">
        <v>3139</v>
      </c>
      <c r="O686" s="41" t="s">
        <v>2369</v>
      </c>
      <c r="P686" s="41" t="s">
        <v>3145</v>
      </c>
      <c r="Q686" s="42" t="s">
        <v>1343</v>
      </c>
      <c r="V686" s="39">
        <v>20125000</v>
      </c>
      <c r="Y686" s="39" t="s">
        <v>3482</v>
      </c>
      <c r="Z686" s="40" t="s">
        <v>146</v>
      </c>
      <c r="AA686" s="41" t="s">
        <v>2430</v>
      </c>
      <c r="AB686" s="41" t="s">
        <v>500</v>
      </c>
      <c r="AC686" s="41" t="s">
        <v>3139</v>
      </c>
      <c r="AD686" s="41" t="s">
        <v>2369</v>
      </c>
      <c r="AE686" s="41" t="s">
        <v>3145</v>
      </c>
      <c r="AF686" s="42" t="s">
        <v>500</v>
      </c>
    </row>
    <row r="687" spans="11:32" ht="17.25" customHeight="1" x14ac:dyDescent="0.25">
      <c r="K687" s="40" t="s">
        <v>263</v>
      </c>
      <c r="L687" s="41" t="s">
        <v>3018</v>
      </c>
      <c r="M687" s="41" t="s">
        <v>499</v>
      </c>
      <c r="N687" s="41" t="s">
        <v>3139</v>
      </c>
      <c r="O687" s="41" t="s">
        <v>2369</v>
      </c>
      <c r="P687" s="41" t="s">
        <v>3145</v>
      </c>
      <c r="Q687" s="42" t="s">
        <v>1343</v>
      </c>
      <c r="V687" s="39">
        <v>20142000</v>
      </c>
      <c r="Y687" s="39" t="s">
        <v>3483</v>
      </c>
      <c r="Z687" s="40" t="s">
        <v>194</v>
      </c>
      <c r="AA687" s="41" t="s">
        <v>2427</v>
      </c>
      <c r="AB687" s="41" t="s">
        <v>500</v>
      </c>
      <c r="AC687" s="41" t="s">
        <v>3139</v>
      </c>
      <c r="AD687" s="41" t="s">
        <v>2369</v>
      </c>
      <c r="AE687" s="41" t="s">
        <v>3145</v>
      </c>
      <c r="AF687" s="42" t="s">
        <v>500</v>
      </c>
    </row>
    <row r="688" spans="11:32" ht="17.25" customHeight="1" x14ac:dyDescent="0.25">
      <c r="K688" s="40" t="s">
        <v>571</v>
      </c>
      <c r="L688" s="41" t="s">
        <v>3019</v>
      </c>
      <c r="M688" s="41" t="s">
        <v>499</v>
      </c>
      <c r="N688" s="41" t="s">
        <v>3139</v>
      </c>
      <c r="O688" s="41" t="s">
        <v>2369</v>
      </c>
      <c r="P688" s="41" t="s">
        <v>3145</v>
      </c>
      <c r="Q688" s="42" t="s">
        <v>1343</v>
      </c>
      <c r="V688" s="39">
        <v>20138000</v>
      </c>
      <c r="Y688" s="39" t="s">
        <v>3484</v>
      </c>
      <c r="Z688" s="40" t="s">
        <v>133</v>
      </c>
      <c r="AA688" s="41" t="s">
        <v>2422</v>
      </c>
      <c r="AB688" s="41" t="s">
        <v>500</v>
      </c>
      <c r="AC688" s="41" t="s">
        <v>3139</v>
      </c>
      <c r="AD688" s="41" t="s">
        <v>2369</v>
      </c>
      <c r="AE688" s="41" t="s">
        <v>3145</v>
      </c>
      <c r="AF688" s="42" t="s">
        <v>500</v>
      </c>
    </row>
    <row r="689" spans="11:32" ht="17.25" customHeight="1" x14ac:dyDescent="0.25">
      <c r="K689" s="40" t="s">
        <v>730</v>
      </c>
      <c r="L689" s="41" t="s">
        <v>3020</v>
      </c>
      <c r="M689" s="41" t="s">
        <v>522</v>
      </c>
      <c r="N689" s="41" t="s">
        <v>3139</v>
      </c>
      <c r="O689" s="41" t="s">
        <v>2369</v>
      </c>
      <c r="P689" s="41" t="s">
        <v>3145</v>
      </c>
      <c r="Q689" s="42" t="s">
        <v>1343</v>
      </c>
      <c r="V689" s="39">
        <v>20151000</v>
      </c>
      <c r="Y689" s="39" t="s">
        <v>3485</v>
      </c>
      <c r="Z689" s="40" t="s">
        <v>176</v>
      </c>
      <c r="AA689" s="41" t="s">
        <v>2433</v>
      </c>
      <c r="AB689" s="41" t="s">
        <v>500</v>
      </c>
      <c r="AC689" s="41" t="s">
        <v>3139</v>
      </c>
      <c r="AD689" s="41" t="s">
        <v>2369</v>
      </c>
      <c r="AE689" s="41" t="s">
        <v>3145</v>
      </c>
      <c r="AF689" s="42" t="s">
        <v>500</v>
      </c>
    </row>
    <row r="690" spans="11:32" ht="17.25" customHeight="1" x14ac:dyDescent="0.25">
      <c r="K690" s="40" t="s">
        <v>636</v>
      </c>
      <c r="L690" s="41" t="s">
        <v>3021</v>
      </c>
      <c r="M690" s="41" t="s">
        <v>529</v>
      </c>
      <c r="N690" s="41" t="s">
        <v>3139</v>
      </c>
      <c r="O690" s="41" t="s">
        <v>2369</v>
      </c>
      <c r="P690" s="41" t="s">
        <v>3145</v>
      </c>
      <c r="Q690" s="42" t="s">
        <v>1343</v>
      </c>
      <c r="V690" s="39">
        <v>20137000</v>
      </c>
      <c r="Y690" s="39" t="s">
        <v>3486</v>
      </c>
      <c r="Z690" s="40" t="s">
        <v>311</v>
      </c>
      <c r="AA690" s="41" t="s">
        <v>2779</v>
      </c>
      <c r="AB690" s="41" t="s">
        <v>538</v>
      </c>
      <c r="AC690" s="41" t="s">
        <v>3139</v>
      </c>
      <c r="AD690" s="41" t="s">
        <v>2369</v>
      </c>
      <c r="AE690" s="41" t="s">
        <v>3152</v>
      </c>
      <c r="AF690" s="42" t="s">
        <v>1342</v>
      </c>
    </row>
    <row r="691" spans="11:32" ht="17.25" customHeight="1" x14ac:dyDescent="0.25">
      <c r="K691" s="40" t="s">
        <v>466</v>
      </c>
      <c r="L691" s="41" t="s">
        <v>3022</v>
      </c>
      <c r="M691" s="41" t="s">
        <v>1322</v>
      </c>
      <c r="N691" s="41" t="s">
        <v>3139</v>
      </c>
      <c r="O691" s="41" t="s">
        <v>2369</v>
      </c>
      <c r="P691" s="41" t="s">
        <v>3145</v>
      </c>
      <c r="Q691" s="42" t="s">
        <v>1343</v>
      </c>
    </row>
    <row r="692" spans="11:32" ht="17.25" customHeight="1" x14ac:dyDescent="0.25">
      <c r="K692" s="40" t="s">
        <v>225</v>
      </c>
      <c r="L692" s="41" t="s">
        <v>2571</v>
      </c>
      <c r="M692" s="41" t="s">
        <v>514</v>
      </c>
      <c r="N692" s="41" t="s">
        <v>3139</v>
      </c>
      <c r="O692" s="41" t="s">
        <v>2369</v>
      </c>
      <c r="P692" s="41" t="s">
        <v>3145</v>
      </c>
      <c r="Q692" s="42" t="s">
        <v>1343</v>
      </c>
    </row>
    <row r="693" spans="11:32" ht="17.25" customHeight="1" x14ac:dyDescent="0.25">
      <c r="K693" s="40" t="s">
        <v>435</v>
      </c>
      <c r="L693" s="41" t="s">
        <v>2574</v>
      </c>
      <c r="M693" s="41" t="s">
        <v>510</v>
      </c>
      <c r="N693" s="41" t="s">
        <v>3139</v>
      </c>
      <c r="O693" s="41" t="s">
        <v>2369</v>
      </c>
      <c r="P693" s="41" t="s">
        <v>3145</v>
      </c>
      <c r="Q693" s="42" t="s">
        <v>1343</v>
      </c>
    </row>
    <row r="694" spans="11:32" ht="17.25" customHeight="1" x14ac:dyDescent="0.25">
      <c r="K694" s="40" t="s">
        <v>441</v>
      </c>
      <c r="L694" s="41" t="s">
        <v>3023</v>
      </c>
      <c r="M694" s="41" t="s">
        <v>514</v>
      </c>
      <c r="N694" s="41" t="s">
        <v>3139</v>
      </c>
      <c r="O694" s="41" t="s">
        <v>2369</v>
      </c>
      <c r="P694" s="41" t="s">
        <v>3145</v>
      </c>
      <c r="Q694" s="42" t="s">
        <v>1343</v>
      </c>
    </row>
    <row r="695" spans="11:32" ht="17.25" customHeight="1" x14ac:dyDescent="0.25">
      <c r="K695" s="40" t="s">
        <v>416</v>
      </c>
      <c r="L695" s="41" t="s">
        <v>3024</v>
      </c>
      <c r="M695" s="41" t="s">
        <v>513</v>
      </c>
      <c r="N695" s="41" t="s">
        <v>3139</v>
      </c>
      <c r="O695" s="41" t="s">
        <v>2369</v>
      </c>
      <c r="P695" s="41" t="s">
        <v>3145</v>
      </c>
      <c r="Q695" s="42" t="s">
        <v>1343</v>
      </c>
    </row>
    <row r="696" spans="11:32" ht="17.25" customHeight="1" x14ac:dyDescent="0.25">
      <c r="K696" s="40" t="s">
        <v>3365</v>
      </c>
      <c r="L696" s="41" t="s">
        <v>3387</v>
      </c>
      <c r="M696" s="41" t="s">
        <v>527</v>
      </c>
      <c r="N696" s="41" t="s">
        <v>3139</v>
      </c>
      <c r="O696" s="41" t="s">
        <v>2369</v>
      </c>
      <c r="P696" s="41" t="s">
        <v>3145</v>
      </c>
      <c r="Q696" s="42" t="s">
        <v>1343</v>
      </c>
    </row>
    <row r="697" spans="11:32" ht="17.25" customHeight="1" x14ac:dyDescent="0.25">
      <c r="K697" s="40" t="s">
        <v>691</v>
      </c>
      <c r="L697" s="41" t="s">
        <v>3026</v>
      </c>
      <c r="M697" s="41" t="s">
        <v>521</v>
      </c>
      <c r="N697" s="41" t="s">
        <v>3139</v>
      </c>
      <c r="O697" s="41" t="s">
        <v>2369</v>
      </c>
      <c r="P697" s="41" t="s">
        <v>3145</v>
      </c>
      <c r="Q697" s="42" t="s">
        <v>1343</v>
      </c>
    </row>
    <row r="698" spans="11:32" ht="17.25" customHeight="1" x14ac:dyDescent="0.25">
      <c r="K698" s="40" t="s">
        <v>703</v>
      </c>
      <c r="L698" s="41" t="s">
        <v>3027</v>
      </c>
      <c r="M698" s="41" t="s">
        <v>521</v>
      </c>
      <c r="N698" s="41" t="s">
        <v>3139</v>
      </c>
      <c r="O698" s="41" t="s">
        <v>2369</v>
      </c>
      <c r="P698" s="41" t="s">
        <v>3145</v>
      </c>
      <c r="Q698" s="42" t="s">
        <v>1343</v>
      </c>
    </row>
    <row r="699" spans="11:32" ht="17.25" customHeight="1" x14ac:dyDescent="0.25">
      <c r="K699" s="40" t="s">
        <v>742</v>
      </c>
      <c r="L699" s="41" t="s">
        <v>3028</v>
      </c>
      <c r="M699" s="41" t="s">
        <v>528</v>
      </c>
      <c r="N699" s="41" t="s">
        <v>3139</v>
      </c>
      <c r="O699" s="41" t="s">
        <v>2369</v>
      </c>
      <c r="P699" s="41" t="s">
        <v>3145</v>
      </c>
      <c r="Q699" s="42" t="s">
        <v>1343</v>
      </c>
    </row>
    <row r="700" spans="11:32" ht="17.25" customHeight="1" x14ac:dyDescent="0.25">
      <c r="K700" s="40" t="s">
        <v>695</v>
      </c>
      <c r="L700" s="41" t="s">
        <v>3029</v>
      </c>
      <c r="M700" s="41" t="s">
        <v>521</v>
      </c>
      <c r="N700" s="41" t="s">
        <v>3139</v>
      </c>
      <c r="O700" s="41" t="s">
        <v>2369</v>
      </c>
      <c r="P700" s="41" t="s">
        <v>3145</v>
      </c>
      <c r="Q700" s="42" t="s">
        <v>1343</v>
      </c>
    </row>
    <row r="701" spans="11:32" ht="17.25" customHeight="1" x14ac:dyDescent="0.25">
      <c r="K701" s="40" t="s">
        <v>572</v>
      </c>
      <c r="L701" s="41" t="s">
        <v>3030</v>
      </c>
      <c r="M701" s="41" t="s">
        <v>523</v>
      </c>
      <c r="N701" s="41" t="s">
        <v>3139</v>
      </c>
      <c r="O701" s="41" t="s">
        <v>2369</v>
      </c>
      <c r="P701" s="41" t="s">
        <v>3145</v>
      </c>
      <c r="Q701" s="42" t="s">
        <v>1343</v>
      </c>
    </row>
    <row r="702" spans="11:32" ht="17.25" customHeight="1" x14ac:dyDescent="0.25">
      <c r="K702" s="40" t="s">
        <v>734</v>
      </c>
      <c r="L702" s="41" t="s">
        <v>3031</v>
      </c>
      <c r="M702" s="41" t="s">
        <v>520</v>
      </c>
      <c r="N702" s="41" t="s">
        <v>3139</v>
      </c>
      <c r="O702" s="41" t="s">
        <v>2369</v>
      </c>
      <c r="P702" s="41" t="s">
        <v>3145</v>
      </c>
      <c r="Q702" s="42" t="s">
        <v>1343</v>
      </c>
    </row>
    <row r="703" spans="11:32" ht="17.25" customHeight="1" x14ac:dyDescent="0.25">
      <c r="K703" s="40" t="s">
        <v>575</v>
      </c>
      <c r="L703" s="41" t="s">
        <v>3032</v>
      </c>
      <c r="M703" s="41" t="s">
        <v>525</v>
      </c>
      <c r="N703" s="41" t="s">
        <v>3139</v>
      </c>
      <c r="O703" s="41" t="s">
        <v>2369</v>
      </c>
      <c r="P703" s="41" t="s">
        <v>3152</v>
      </c>
      <c r="Q703" s="42" t="s">
        <v>1343</v>
      </c>
    </row>
    <row r="704" spans="11:32" ht="17.25" customHeight="1" x14ac:dyDescent="0.25">
      <c r="K704" s="40" t="s">
        <v>746</v>
      </c>
      <c r="L704" s="41" t="s">
        <v>3033</v>
      </c>
      <c r="M704" s="41" t="s">
        <v>525</v>
      </c>
      <c r="N704" s="41" t="s">
        <v>3139</v>
      </c>
      <c r="O704" s="41" t="s">
        <v>2369</v>
      </c>
      <c r="P704" s="41" t="s">
        <v>3152</v>
      </c>
      <c r="Q704" s="42" t="s">
        <v>1343</v>
      </c>
    </row>
    <row r="705" spans="11:17" ht="17.25" customHeight="1" x14ac:dyDescent="0.25">
      <c r="K705" s="40" t="s">
        <v>738</v>
      </c>
      <c r="L705" s="41" t="s">
        <v>3034</v>
      </c>
      <c r="M705" s="41" t="s">
        <v>527</v>
      </c>
      <c r="N705" s="41" t="s">
        <v>3139</v>
      </c>
      <c r="O705" s="41" t="s">
        <v>2369</v>
      </c>
      <c r="P705" s="41" t="s">
        <v>3145</v>
      </c>
      <c r="Q705" s="42" t="s">
        <v>1343</v>
      </c>
    </row>
    <row r="706" spans="11:17" ht="17.25" customHeight="1" x14ac:dyDescent="0.25">
      <c r="K706" s="40" t="s">
        <v>737</v>
      </c>
      <c r="L706" s="41" t="s">
        <v>3035</v>
      </c>
      <c r="M706" s="41" t="s">
        <v>527</v>
      </c>
      <c r="N706" s="41" t="s">
        <v>3139</v>
      </c>
      <c r="O706" s="41" t="s">
        <v>2369</v>
      </c>
      <c r="P706" s="41" t="s">
        <v>3145</v>
      </c>
      <c r="Q706" s="42" t="s">
        <v>1343</v>
      </c>
    </row>
    <row r="707" spans="11:17" ht="17.25" customHeight="1" x14ac:dyDescent="0.25">
      <c r="K707" s="40" t="s">
        <v>736</v>
      </c>
      <c r="L707" s="41" t="s">
        <v>3036</v>
      </c>
      <c r="M707" s="41" t="s">
        <v>526</v>
      </c>
      <c r="N707" s="41" t="s">
        <v>3139</v>
      </c>
      <c r="O707" s="41" t="s">
        <v>2369</v>
      </c>
      <c r="P707" s="41" t="s">
        <v>3145</v>
      </c>
      <c r="Q707" s="42" t="s">
        <v>1343</v>
      </c>
    </row>
    <row r="708" spans="11:17" ht="17.25" customHeight="1" x14ac:dyDescent="0.25">
      <c r="K708" s="40" t="s">
        <v>662</v>
      </c>
      <c r="L708" s="41" t="s">
        <v>3037</v>
      </c>
      <c r="M708" s="41" t="s">
        <v>521</v>
      </c>
      <c r="N708" s="41" t="s">
        <v>3139</v>
      </c>
      <c r="O708" s="41" t="s">
        <v>2369</v>
      </c>
      <c r="P708" s="41" t="s">
        <v>3145</v>
      </c>
      <c r="Q708" s="42" t="s">
        <v>1343</v>
      </c>
    </row>
    <row r="709" spans="11:17" ht="17.25" customHeight="1" x14ac:dyDescent="0.25">
      <c r="K709" s="40" t="s">
        <v>315</v>
      </c>
      <c r="L709" s="41" t="s">
        <v>3038</v>
      </c>
      <c r="M709" s="41" t="s">
        <v>535</v>
      </c>
      <c r="N709" s="41" t="s">
        <v>3139</v>
      </c>
      <c r="O709" s="41" t="s">
        <v>2369</v>
      </c>
      <c r="P709" s="41" t="s">
        <v>3145</v>
      </c>
      <c r="Q709" s="42" t="s">
        <v>1343</v>
      </c>
    </row>
    <row r="710" spans="11:17" ht="17.25" customHeight="1" x14ac:dyDescent="0.25">
      <c r="K710" s="40" t="s">
        <v>568</v>
      </c>
      <c r="L710" s="41" t="s">
        <v>3039</v>
      </c>
      <c r="M710" s="41" t="s">
        <v>527</v>
      </c>
      <c r="N710" s="41" t="s">
        <v>3139</v>
      </c>
      <c r="O710" s="41" t="s">
        <v>2369</v>
      </c>
      <c r="P710" s="41" t="s">
        <v>3145</v>
      </c>
      <c r="Q710" s="42" t="s">
        <v>1343</v>
      </c>
    </row>
    <row r="711" spans="11:17" ht="17.25" customHeight="1" x14ac:dyDescent="0.25">
      <c r="K711" s="40" t="s">
        <v>625</v>
      </c>
      <c r="L711" s="41" t="s">
        <v>3040</v>
      </c>
      <c r="M711" s="41" t="s">
        <v>533</v>
      </c>
      <c r="N711" s="41" t="s">
        <v>3139</v>
      </c>
      <c r="O711" s="41" t="s">
        <v>2369</v>
      </c>
      <c r="P711" s="41" t="s">
        <v>3145</v>
      </c>
      <c r="Q711" s="42" t="s">
        <v>1343</v>
      </c>
    </row>
    <row r="712" spans="11:17" ht="17.25" customHeight="1" x14ac:dyDescent="0.25">
      <c r="K712" s="40" t="s">
        <v>739</v>
      </c>
      <c r="L712" s="41" t="s">
        <v>3041</v>
      </c>
      <c r="M712" s="41" t="s">
        <v>528</v>
      </c>
      <c r="N712" s="41" t="s">
        <v>3139</v>
      </c>
      <c r="O712" s="41" t="s">
        <v>2369</v>
      </c>
      <c r="P712" s="41" t="s">
        <v>3145</v>
      </c>
      <c r="Q712" s="42" t="s">
        <v>1343</v>
      </c>
    </row>
    <row r="713" spans="11:17" ht="17.25" customHeight="1" x14ac:dyDescent="0.25">
      <c r="K713" s="40" t="s">
        <v>614</v>
      </c>
      <c r="L713" s="41" t="s">
        <v>2679</v>
      </c>
      <c r="M713" s="41" t="s">
        <v>526</v>
      </c>
      <c r="N713" s="41" t="s">
        <v>3139</v>
      </c>
      <c r="O713" s="41" t="s">
        <v>2369</v>
      </c>
      <c r="P713" s="41" t="s">
        <v>3145</v>
      </c>
      <c r="Q713" s="42" t="s">
        <v>1343</v>
      </c>
    </row>
    <row r="714" spans="11:17" ht="17.25" customHeight="1" x14ac:dyDescent="0.25">
      <c r="K714" s="40" t="s">
        <v>733</v>
      </c>
      <c r="L714" s="41" t="s">
        <v>3042</v>
      </c>
      <c r="M714" s="41" t="s">
        <v>521</v>
      </c>
      <c r="N714" s="41" t="s">
        <v>3139</v>
      </c>
      <c r="O714" s="41" t="s">
        <v>2369</v>
      </c>
      <c r="P714" s="41" t="s">
        <v>3145</v>
      </c>
      <c r="Q714" s="42" t="s">
        <v>1343</v>
      </c>
    </row>
    <row r="715" spans="11:17" ht="17.25" customHeight="1" x14ac:dyDescent="0.25">
      <c r="K715" s="40" t="s">
        <v>237</v>
      </c>
      <c r="L715" s="41" t="s">
        <v>3043</v>
      </c>
      <c r="M715" s="41" t="s">
        <v>510</v>
      </c>
      <c r="N715" s="41" t="s">
        <v>3139</v>
      </c>
      <c r="O715" s="41" t="s">
        <v>2369</v>
      </c>
      <c r="P715" s="41" t="s">
        <v>3145</v>
      </c>
      <c r="Q715" s="42" t="s">
        <v>1343</v>
      </c>
    </row>
    <row r="716" spans="11:17" ht="17.25" customHeight="1" x14ac:dyDescent="0.25">
      <c r="K716" s="40" t="s">
        <v>655</v>
      </c>
      <c r="L716" s="41" t="s">
        <v>3044</v>
      </c>
      <c r="M716" s="41" t="s">
        <v>534</v>
      </c>
      <c r="N716" s="41" t="s">
        <v>3139</v>
      </c>
      <c r="O716" s="41" t="s">
        <v>2369</v>
      </c>
      <c r="P716" s="41" t="s">
        <v>3145</v>
      </c>
      <c r="Q716" s="42" t="s">
        <v>1343</v>
      </c>
    </row>
    <row r="717" spans="11:17" ht="17.25" customHeight="1" x14ac:dyDescent="0.25">
      <c r="K717" s="40" t="s">
        <v>570</v>
      </c>
      <c r="L717" s="41" t="s">
        <v>3045</v>
      </c>
      <c r="M717" s="41" t="s">
        <v>534</v>
      </c>
      <c r="N717" s="41" t="s">
        <v>3139</v>
      </c>
      <c r="O717" s="41" t="s">
        <v>2369</v>
      </c>
      <c r="P717" s="41" t="s">
        <v>3145</v>
      </c>
      <c r="Q717" s="42" t="s">
        <v>1343</v>
      </c>
    </row>
    <row r="718" spans="11:17" ht="17.25" customHeight="1" x14ac:dyDescent="0.25">
      <c r="K718" s="40" t="s">
        <v>724</v>
      </c>
      <c r="L718" s="41" t="s">
        <v>3046</v>
      </c>
      <c r="M718" s="41" t="s">
        <v>514</v>
      </c>
      <c r="N718" s="41" t="s">
        <v>3139</v>
      </c>
      <c r="O718" s="41" t="s">
        <v>2369</v>
      </c>
      <c r="P718" s="41" t="s">
        <v>3145</v>
      </c>
      <c r="Q718" s="42" t="s">
        <v>1343</v>
      </c>
    </row>
    <row r="719" spans="11:17" ht="17.25" customHeight="1" x14ac:dyDescent="0.25">
      <c r="K719" s="40" t="s">
        <v>233</v>
      </c>
      <c r="L719" s="41" t="s">
        <v>3047</v>
      </c>
      <c r="M719" s="41" t="s">
        <v>531</v>
      </c>
      <c r="N719" s="41" t="s">
        <v>3139</v>
      </c>
      <c r="O719" s="41" t="s">
        <v>2369</v>
      </c>
      <c r="P719" s="41" t="s">
        <v>3145</v>
      </c>
      <c r="Q719" s="42" t="s">
        <v>1343</v>
      </c>
    </row>
    <row r="720" spans="11:17" ht="17.25" customHeight="1" x14ac:dyDescent="0.25">
      <c r="K720" s="40" t="s">
        <v>668</v>
      </c>
      <c r="L720" s="41" t="s">
        <v>3048</v>
      </c>
      <c r="M720" s="41" t="s">
        <v>525</v>
      </c>
      <c r="N720" s="41" t="s">
        <v>3139</v>
      </c>
      <c r="O720" s="41" t="s">
        <v>2369</v>
      </c>
      <c r="P720" s="41" t="s">
        <v>3152</v>
      </c>
      <c r="Q720" s="42" t="s">
        <v>1343</v>
      </c>
    </row>
    <row r="721" spans="11:17" ht="17.25" customHeight="1" x14ac:dyDescent="0.25">
      <c r="K721" s="40" t="s">
        <v>732</v>
      </c>
      <c r="L721" s="41" t="s">
        <v>3049</v>
      </c>
      <c r="M721" s="41" t="s">
        <v>521</v>
      </c>
      <c r="N721" s="41" t="s">
        <v>3139</v>
      </c>
      <c r="O721" s="41" t="s">
        <v>2369</v>
      </c>
      <c r="P721" s="41" t="s">
        <v>3145</v>
      </c>
      <c r="Q721" s="42" t="s">
        <v>1343</v>
      </c>
    </row>
    <row r="722" spans="11:17" ht="17.25" customHeight="1" x14ac:dyDescent="0.25">
      <c r="K722" s="40" t="s">
        <v>647</v>
      </c>
      <c r="L722" s="41" t="s">
        <v>3050</v>
      </c>
      <c r="M722" s="41" t="s">
        <v>532</v>
      </c>
      <c r="N722" s="41" t="s">
        <v>3139</v>
      </c>
      <c r="O722" s="41" t="s">
        <v>2369</v>
      </c>
      <c r="P722" s="41" t="s">
        <v>3145</v>
      </c>
      <c r="Q722" s="42" t="s">
        <v>1343</v>
      </c>
    </row>
    <row r="723" spans="11:17" ht="17.25" customHeight="1" x14ac:dyDescent="0.25">
      <c r="K723" s="40" t="s">
        <v>725</v>
      </c>
      <c r="L723" s="41" t="s">
        <v>3051</v>
      </c>
      <c r="M723" s="41" t="s">
        <v>514</v>
      </c>
      <c r="N723" s="41" t="s">
        <v>3139</v>
      </c>
      <c r="O723" s="41" t="s">
        <v>2369</v>
      </c>
      <c r="P723" s="41" t="s">
        <v>3145</v>
      </c>
      <c r="Q723" s="42" t="s">
        <v>1343</v>
      </c>
    </row>
    <row r="724" spans="11:17" ht="17.25" customHeight="1" x14ac:dyDescent="0.25">
      <c r="K724" s="40" t="s">
        <v>319</v>
      </c>
      <c r="L724" s="41" t="s">
        <v>3052</v>
      </c>
      <c r="M724" s="41" t="s">
        <v>535</v>
      </c>
      <c r="N724" s="41" t="s">
        <v>3139</v>
      </c>
      <c r="O724" s="41" t="s">
        <v>2369</v>
      </c>
      <c r="P724" s="41" t="s">
        <v>3145</v>
      </c>
      <c r="Q724" s="42" t="s">
        <v>1343</v>
      </c>
    </row>
    <row r="725" spans="11:17" ht="17.25" customHeight="1" x14ac:dyDescent="0.25">
      <c r="K725" s="40" t="s">
        <v>588</v>
      </c>
      <c r="L725" s="41" t="s">
        <v>3053</v>
      </c>
      <c r="M725" s="41" t="s">
        <v>532</v>
      </c>
      <c r="N725" s="41" t="s">
        <v>3139</v>
      </c>
      <c r="O725" s="41" t="s">
        <v>2369</v>
      </c>
      <c r="P725" s="41" t="s">
        <v>3145</v>
      </c>
      <c r="Q725" s="42" t="s">
        <v>1343</v>
      </c>
    </row>
    <row r="726" spans="11:17" ht="17.25" customHeight="1" x14ac:dyDescent="0.25">
      <c r="K726" s="40" t="s">
        <v>621</v>
      </c>
      <c r="L726" s="41" t="s">
        <v>3054</v>
      </c>
      <c r="M726" s="41" t="s">
        <v>535</v>
      </c>
      <c r="N726" s="41" t="s">
        <v>3139</v>
      </c>
      <c r="O726" s="41" t="s">
        <v>2369</v>
      </c>
      <c r="P726" s="41" t="s">
        <v>3145</v>
      </c>
      <c r="Q726" s="42" t="s">
        <v>1343</v>
      </c>
    </row>
    <row r="727" spans="11:17" ht="17.25" customHeight="1" x14ac:dyDescent="0.25">
      <c r="K727" s="40" t="s">
        <v>715</v>
      </c>
      <c r="L727" s="41" t="s">
        <v>2888</v>
      </c>
      <c r="M727" s="41" t="s">
        <v>525</v>
      </c>
      <c r="N727" s="41" t="s">
        <v>3141</v>
      </c>
      <c r="O727" s="41" t="s">
        <v>2369</v>
      </c>
      <c r="P727" s="41" t="s">
        <v>3152</v>
      </c>
      <c r="Q727" s="42" t="s">
        <v>1343</v>
      </c>
    </row>
    <row r="728" spans="11:17" ht="17.25" customHeight="1" x14ac:dyDescent="0.25">
      <c r="K728" s="40" t="s">
        <v>708</v>
      </c>
      <c r="L728" s="41" t="s">
        <v>3055</v>
      </c>
      <c r="M728" s="41" t="s">
        <v>514</v>
      </c>
      <c r="N728" s="41" t="s">
        <v>3139</v>
      </c>
      <c r="O728" s="41" t="s">
        <v>2369</v>
      </c>
      <c r="P728" s="41" t="s">
        <v>3145</v>
      </c>
      <c r="Q728" s="42" t="s">
        <v>1343</v>
      </c>
    </row>
    <row r="729" spans="11:17" ht="17.25" customHeight="1" x14ac:dyDescent="0.25">
      <c r="K729" s="40" t="s">
        <v>735</v>
      </c>
      <c r="L729" s="41" t="s">
        <v>3056</v>
      </c>
      <c r="M729" s="41" t="s">
        <v>525</v>
      </c>
      <c r="N729" s="41" t="s">
        <v>3139</v>
      </c>
      <c r="O729" s="41" t="s">
        <v>2369</v>
      </c>
      <c r="P729" s="41" t="s">
        <v>3152</v>
      </c>
      <c r="Q729" s="42" t="s">
        <v>1343</v>
      </c>
    </row>
    <row r="730" spans="11:17" ht="17.25" customHeight="1" x14ac:dyDescent="0.25">
      <c r="K730" s="40" t="s">
        <v>218</v>
      </c>
      <c r="L730" s="41" t="s">
        <v>3057</v>
      </c>
      <c r="M730" s="41" t="s">
        <v>524</v>
      </c>
      <c r="N730" s="41" t="s">
        <v>3139</v>
      </c>
      <c r="O730" s="41" t="s">
        <v>2369</v>
      </c>
      <c r="P730" s="41" t="s">
        <v>3145</v>
      </c>
      <c r="Q730" s="42" t="s">
        <v>1343</v>
      </c>
    </row>
    <row r="731" spans="11:17" ht="17.25" customHeight="1" x14ac:dyDescent="0.25">
      <c r="K731" s="40" t="s">
        <v>707</v>
      </c>
      <c r="L731" s="41" t="s">
        <v>3058</v>
      </c>
      <c r="M731" s="41" t="s">
        <v>510</v>
      </c>
      <c r="N731" s="41" t="s">
        <v>3139</v>
      </c>
      <c r="O731" s="41" t="s">
        <v>2369</v>
      </c>
      <c r="P731" s="41" t="s">
        <v>3145</v>
      </c>
      <c r="Q731" s="42" t="s">
        <v>1343</v>
      </c>
    </row>
    <row r="732" spans="11:17" ht="17.25" customHeight="1" x14ac:dyDescent="0.25">
      <c r="K732" s="40" t="s">
        <v>684</v>
      </c>
      <c r="L732" s="41" t="s">
        <v>3059</v>
      </c>
      <c r="M732" s="41" t="s">
        <v>532</v>
      </c>
      <c r="N732" s="41" t="s">
        <v>3139</v>
      </c>
      <c r="O732" s="41" t="s">
        <v>2369</v>
      </c>
      <c r="P732" s="41" t="s">
        <v>3145</v>
      </c>
      <c r="Q732" s="42" t="s">
        <v>1343</v>
      </c>
    </row>
    <row r="733" spans="11:17" ht="17.25" customHeight="1" x14ac:dyDescent="0.25">
      <c r="K733" s="40" t="s">
        <v>692</v>
      </c>
      <c r="L733" s="41" t="s">
        <v>3060</v>
      </c>
      <c r="M733" s="41" t="s">
        <v>532</v>
      </c>
      <c r="N733" s="41" t="s">
        <v>3139</v>
      </c>
      <c r="O733" s="41" t="s">
        <v>2369</v>
      </c>
      <c r="P733" s="41" t="s">
        <v>3145</v>
      </c>
      <c r="Q733" s="42" t="s">
        <v>1343</v>
      </c>
    </row>
    <row r="734" spans="11:17" ht="17.25" customHeight="1" x14ac:dyDescent="0.25">
      <c r="K734" s="40" t="s">
        <v>618</v>
      </c>
      <c r="L734" s="41" t="s">
        <v>3061</v>
      </c>
      <c r="M734" s="41" t="s">
        <v>523</v>
      </c>
      <c r="N734" s="41" t="s">
        <v>3139</v>
      </c>
      <c r="O734" s="41" t="s">
        <v>2369</v>
      </c>
      <c r="P734" s="41" t="s">
        <v>3145</v>
      </c>
      <c r="Q734" s="42" t="s">
        <v>1343</v>
      </c>
    </row>
    <row r="735" spans="11:17" ht="17.25" customHeight="1" x14ac:dyDescent="0.25">
      <c r="K735" s="40" t="s">
        <v>624</v>
      </c>
      <c r="L735" s="41" t="s">
        <v>3062</v>
      </c>
      <c r="M735" s="41" t="s">
        <v>529</v>
      </c>
      <c r="N735" s="41" t="s">
        <v>3139</v>
      </c>
      <c r="O735" s="41" t="s">
        <v>2369</v>
      </c>
      <c r="P735" s="41" t="s">
        <v>3145</v>
      </c>
      <c r="Q735" s="42" t="s">
        <v>1343</v>
      </c>
    </row>
    <row r="736" spans="11:17" ht="17.25" customHeight="1" x14ac:dyDescent="0.25">
      <c r="K736" s="40" t="s">
        <v>446</v>
      </c>
      <c r="L736" s="41" t="s">
        <v>3063</v>
      </c>
      <c r="M736" s="41" t="s">
        <v>510</v>
      </c>
      <c r="N736" s="41" t="s">
        <v>3139</v>
      </c>
      <c r="O736" s="41" t="s">
        <v>2369</v>
      </c>
      <c r="P736" s="41" t="s">
        <v>3145</v>
      </c>
      <c r="Q736" s="42" t="s">
        <v>1343</v>
      </c>
    </row>
    <row r="737" spans="11:17" ht="17.25" customHeight="1" x14ac:dyDescent="0.25">
      <c r="K737" s="40" t="s">
        <v>654</v>
      </c>
      <c r="L737" s="41" t="s">
        <v>3064</v>
      </c>
      <c r="M737" s="41" t="s">
        <v>514</v>
      </c>
      <c r="N737" s="41" t="s">
        <v>3139</v>
      </c>
      <c r="O737" s="41" t="s">
        <v>2369</v>
      </c>
      <c r="P737" s="41" t="s">
        <v>3145</v>
      </c>
      <c r="Q737" s="42" t="s">
        <v>1343</v>
      </c>
    </row>
    <row r="738" spans="11:17" ht="17.25" customHeight="1" x14ac:dyDescent="0.25">
      <c r="K738" s="40" t="s">
        <v>456</v>
      </c>
      <c r="L738" s="41" t="s">
        <v>3065</v>
      </c>
      <c r="M738" s="41" t="s">
        <v>529</v>
      </c>
      <c r="N738" s="41" t="s">
        <v>3139</v>
      </c>
      <c r="O738" s="41" t="s">
        <v>2369</v>
      </c>
      <c r="P738" s="41" t="s">
        <v>3145</v>
      </c>
      <c r="Q738" s="42" t="s">
        <v>1343</v>
      </c>
    </row>
    <row r="739" spans="11:17" ht="17.25" customHeight="1" x14ac:dyDescent="0.25">
      <c r="K739" s="40" t="s">
        <v>405</v>
      </c>
      <c r="L739" s="41" t="s">
        <v>3066</v>
      </c>
      <c r="M739" s="41" t="s">
        <v>514</v>
      </c>
      <c r="N739" s="41" t="s">
        <v>3139</v>
      </c>
      <c r="O739" s="41" t="s">
        <v>2369</v>
      </c>
      <c r="P739" s="41" t="s">
        <v>3145</v>
      </c>
      <c r="Q739" s="42" t="s">
        <v>1343</v>
      </c>
    </row>
    <row r="740" spans="11:17" ht="17.25" customHeight="1" x14ac:dyDescent="0.25">
      <c r="K740" s="40" t="s">
        <v>465</v>
      </c>
      <c r="L740" s="41" t="s">
        <v>3067</v>
      </c>
      <c r="M740" s="41" t="s">
        <v>510</v>
      </c>
      <c r="N740" s="41" t="s">
        <v>3139</v>
      </c>
      <c r="O740" s="41" t="s">
        <v>2369</v>
      </c>
      <c r="P740" s="41" t="s">
        <v>3145</v>
      </c>
      <c r="Q740" s="42" t="s">
        <v>1343</v>
      </c>
    </row>
    <row r="741" spans="11:17" ht="17.25" customHeight="1" x14ac:dyDescent="0.25">
      <c r="K741" s="40" t="s">
        <v>726</v>
      </c>
      <c r="L741" s="41" t="s">
        <v>3068</v>
      </c>
      <c r="M741" s="41" t="s">
        <v>514</v>
      </c>
      <c r="N741" s="41" t="s">
        <v>3139</v>
      </c>
      <c r="O741" s="41" t="s">
        <v>2369</v>
      </c>
      <c r="P741" s="41" t="s">
        <v>3145</v>
      </c>
      <c r="Q741" s="42" t="s">
        <v>1343</v>
      </c>
    </row>
    <row r="742" spans="11:17" ht="17.25" customHeight="1" x14ac:dyDescent="0.25">
      <c r="K742" s="40" t="s">
        <v>727</v>
      </c>
      <c r="L742" s="41" t="s">
        <v>3069</v>
      </c>
      <c r="M742" s="41" t="s">
        <v>535</v>
      </c>
      <c r="N742" s="41" t="s">
        <v>3139</v>
      </c>
      <c r="O742" s="41" t="s">
        <v>2369</v>
      </c>
      <c r="P742" s="41" t="s">
        <v>3145</v>
      </c>
      <c r="Q742" s="42" t="s">
        <v>1343</v>
      </c>
    </row>
    <row r="743" spans="11:17" ht="17.25" customHeight="1" x14ac:dyDescent="0.25">
      <c r="K743" s="40" t="s">
        <v>682</v>
      </c>
      <c r="L743" s="41" t="s">
        <v>3070</v>
      </c>
      <c r="M743" s="41" t="s">
        <v>514</v>
      </c>
      <c r="N743" s="41" t="s">
        <v>3139</v>
      </c>
      <c r="O743" s="41" t="s">
        <v>2369</v>
      </c>
      <c r="P743" s="41" t="s">
        <v>3145</v>
      </c>
      <c r="Q743" s="42" t="s">
        <v>1343</v>
      </c>
    </row>
    <row r="744" spans="11:17" ht="17.25" customHeight="1" x14ac:dyDescent="0.25">
      <c r="K744" s="40" t="s">
        <v>623</v>
      </c>
      <c r="L744" s="41" t="s">
        <v>3071</v>
      </c>
      <c r="M744" s="41" t="s">
        <v>514</v>
      </c>
      <c r="N744" s="41" t="s">
        <v>3139</v>
      </c>
      <c r="O744" s="41" t="s">
        <v>2369</v>
      </c>
      <c r="P744" s="41" t="s">
        <v>3145</v>
      </c>
      <c r="Q744" s="42" t="s">
        <v>1343</v>
      </c>
    </row>
    <row r="745" spans="11:17" ht="17.25" customHeight="1" x14ac:dyDescent="0.25">
      <c r="K745" s="40" t="s">
        <v>745</v>
      </c>
      <c r="L745" s="41" t="s">
        <v>3072</v>
      </c>
      <c r="M745" s="41" t="s">
        <v>520</v>
      </c>
      <c r="N745" s="41" t="s">
        <v>3141</v>
      </c>
      <c r="O745" s="41" t="s">
        <v>2369</v>
      </c>
      <c r="P745" s="41" t="s">
        <v>3145</v>
      </c>
      <c r="Q745" s="42" t="s">
        <v>1343</v>
      </c>
    </row>
    <row r="746" spans="11:17" ht="17.25" customHeight="1" x14ac:dyDescent="0.25">
      <c r="K746" s="40" t="s">
        <v>700</v>
      </c>
      <c r="L746" s="41" t="s">
        <v>3073</v>
      </c>
      <c r="M746" s="41" t="s">
        <v>520</v>
      </c>
      <c r="N746" s="41" t="s">
        <v>3139</v>
      </c>
      <c r="O746" s="41" t="s">
        <v>2369</v>
      </c>
      <c r="P746" s="41" t="s">
        <v>3145</v>
      </c>
      <c r="Q746" s="42" t="s">
        <v>1343</v>
      </c>
    </row>
    <row r="747" spans="11:17" ht="17.25" customHeight="1" x14ac:dyDescent="0.25">
      <c r="K747" s="40" t="s">
        <v>702</v>
      </c>
      <c r="L747" s="41" t="s">
        <v>3074</v>
      </c>
      <c r="M747" s="41" t="s">
        <v>526</v>
      </c>
      <c r="N747" s="41" t="s">
        <v>3139</v>
      </c>
      <c r="O747" s="41" t="s">
        <v>2369</v>
      </c>
      <c r="P747" s="41" t="s">
        <v>3145</v>
      </c>
      <c r="Q747" s="42" t="s">
        <v>1343</v>
      </c>
    </row>
    <row r="748" spans="11:17" ht="17.25" customHeight="1" x14ac:dyDescent="0.25">
      <c r="K748" s="40" t="s">
        <v>689</v>
      </c>
      <c r="L748" s="41" t="s">
        <v>3075</v>
      </c>
      <c r="M748" s="41" t="s">
        <v>527</v>
      </c>
      <c r="N748" s="41" t="s">
        <v>3139</v>
      </c>
      <c r="O748" s="41" t="s">
        <v>2369</v>
      </c>
      <c r="P748" s="41" t="s">
        <v>3145</v>
      </c>
      <c r="Q748" s="42" t="s">
        <v>1343</v>
      </c>
    </row>
    <row r="749" spans="11:17" ht="17.25" customHeight="1" x14ac:dyDescent="0.25">
      <c r="K749" s="40" t="s">
        <v>740</v>
      </c>
      <c r="L749" s="41" t="s">
        <v>3076</v>
      </c>
      <c r="M749" s="41" t="s">
        <v>528</v>
      </c>
      <c r="N749" s="41" t="s">
        <v>3139</v>
      </c>
      <c r="O749" s="41" t="s">
        <v>2369</v>
      </c>
      <c r="P749" s="41" t="s">
        <v>3145</v>
      </c>
      <c r="Q749" s="42" t="s">
        <v>1343</v>
      </c>
    </row>
    <row r="750" spans="11:17" ht="17.25" customHeight="1" x14ac:dyDescent="0.25">
      <c r="K750" s="40" t="s">
        <v>577</v>
      </c>
      <c r="L750" s="41" t="s">
        <v>3077</v>
      </c>
      <c r="M750" s="41" t="s">
        <v>1322</v>
      </c>
      <c r="N750" s="41" t="s">
        <v>3139</v>
      </c>
      <c r="O750" s="41" t="s">
        <v>2369</v>
      </c>
      <c r="P750" s="41" t="s">
        <v>3145</v>
      </c>
      <c r="Q750" s="42" t="s">
        <v>1343</v>
      </c>
    </row>
    <row r="751" spans="11:17" ht="17.25" customHeight="1" x14ac:dyDescent="0.25">
      <c r="K751" s="40" t="s">
        <v>674</v>
      </c>
      <c r="L751" s="41" t="s">
        <v>3078</v>
      </c>
      <c r="M751" s="41" t="s">
        <v>528</v>
      </c>
      <c r="N751" s="41" t="s">
        <v>3139</v>
      </c>
      <c r="O751" s="41" t="s">
        <v>2369</v>
      </c>
      <c r="P751" s="41" t="s">
        <v>3145</v>
      </c>
      <c r="Q751" s="42" t="s">
        <v>1343</v>
      </c>
    </row>
    <row r="752" spans="11:17" ht="17.25" customHeight="1" x14ac:dyDescent="0.25">
      <c r="K752" s="40" t="s">
        <v>721</v>
      </c>
      <c r="L752" s="41" t="s">
        <v>3079</v>
      </c>
      <c r="M752" s="41" t="s">
        <v>528</v>
      </c>
      <c r="N752" s="41" t="s">
        <v>3139</v>
      </c>
      <c r="O752" s="41" t="s">
        <v>2369</v>
      </c>
      <c r="P752" s="41" t="s">
        <v>3145</v>
      </c>
      <c r="Q752" s="42" t="s">
        <v>1343</v>
      </c>
    </row>
    <row r="753" spans="11:17" ht="17.25" customHeight="1" x14ac:dyDescent="0.25">
      <c r="K753" s="40" t="s">
        <v>681</v>
      </c>
      <c r="L753" s="41" t="s">
        <v>3080</v>
      </c>
      <c r="M753" s="41" t="s">
        <v>532</v>
      </c>
      <c r="N753" s="41" t="s">
        <v>3139</v>
      </c>
      <c r="O753" s="41" t="s">
        <v>2369</v>
      </c>
      <c r="P753" s="41" t="s">
        <v>3145</v>
      </c>
      <c r="Q753" s="42" t="s">
        <v>1343</v>
      </c>
    </row>
    <row r="754" spans="11:17" ht="17.25" customHeight="1" x14ac:dyDescent="0.25">
      <c r="K754" s="40" t="s">
        <v>645</v>
      </c>
      <c r="L754" s="41" t="s">
        <v>3081</v>
      </c>
      <c r="M754" s="41" t="s">
        <v>528</v>
      </c>
      <c r="N754" s="41" t="s">
        <v>3139</v>
      </c>
      <c r="O754" s="41" t="s">
        <v>2369</v>
      </c>
      <c r="P754" s="41" t="s">
        <v>3145</v>
      </c>
      <c r="Q754" s="42" t="s">
        <v>1343</v>
      </c>
    </row>
    <row r="755" spans="11:17" ht="17.25" customHeight="1" x14ac:dyDescent="0.25">
      <c r="K755" s="40" t="s">
        <v>599</v>
      </c>
      <c r="L755" s="41" t="s">
        <v>3082</v>
      </c>
      <c r="M755" s="41" t="s">
        <v>1322</v>
      </c>
      <c r="N755" s="41" t="s">
        <v>3139</v>
      </c>
      <c r="O755" s="41" t="s">
        <v>2369</v>
      </c>
      <c r="P755" s="41" t="s">
        <v>3145</v>
      </c>
      <c r="Q755" s="42" t="s">
        <v>1343</v>
      </c>
    </row>
    <row r="756" spans="11:17" ht="17.25" customHeight="1" x14ac:dyDescent="0.25">
      <c r="K756" s="40" t="s">
        <v>3361</v>
      </c>
      <c r="L756" s="41" t="s">
        <v>3374</v>
      </c>
      <c r="M756" s="41" t="s">
        <v>520</v>
      </c>
      <c r="N756" s="41" t="s">
        <v>3139</v>
      </c>
      <c r="O756" s="41" t="s">
        <v>2369</v>
      </c>
      <c r="P756" s="41" t="s">
        <v>3145</v>
      </c>
      <c r="Q756" s="42" t="s">
        <v>1343</v>
      </c>
    </row>
    <row r="757" spans="11:17" ht="17.25" customHeight="1" x14ac:dyDescent="0.25">
      <c r="K757" s="40" t="s">
        <v>586</v>
      </c>
      <c r="L757" s="41" t="s">
        <v>3084</v>
      </c>
      <c r="M757" s="41" t="s">
        <v>499</v>
      </c>
      <c r="N757" s="41" t="s">
        <v>3139</v>
      </c>
      <c r="O757" s="41" t="s">
        <v>2369</v>
      </c>
      <c r="P757" s="41" t="s">
        <v>3145</v>
      </c>
      <c r="Q757" s="42" t="s">
        <v>1343</v>
      </c>
    </row>
    <row r="758" spans="11:17" ht="17.25" customHeight="1" x14ac:dyDescent="0.25">
      <c r="K758" s="40" t="s">
        <v>670</v>
      </c>
      <c r="L758" s="41" t="s">
        <v>3085</v>
      </c>
      <c r="M758" s="41" t="s">
        <v>1322</v>
      </c>
      <c r="N758" s="41" t="s">
        <v>3139</v>
      </c>
      <c r="O758" s="41" t="s">
        <v>2369</v>
      </c>
      <c r="P758" s="41" t="s">
        <v>3145</v>
      </c>
      <c r="Q758" s="42" t="s">
        <v>1343</v>
      </c>
    </row>
    <row r="759" spans="11:17" ht="17.25" customHeight="1" x14ac:dyDescent="0.25">
      <c r="K759" s="40" t="s">
        <v>607</v>
      </c>
      <c r="L759" s="41" t="s">
        <v>3086</v>
      </c>
      <c r="M759" s="41" t="s">
        <v>531</v>
      </c>
      <c r="N759" s="41" t="s">
        <v>3139</v>
      </c>
      <c r="O759" s="41" t="s">
        <v>2369</v>
      </c>
      <c r="P759" s="41" t="s">
        <v>3145</v>
      </c>
      <c r="Q759" s="42" t="s">
        <v>1343</v>
      </c>
    </row>
    <row r="760" spans="11:17" ht="17.25" customHeight="1" x14ac:dyDescent="0.25">
      <c r="K760" s="40" t="s">
        <v>633</v>
      </c>
      <c r="L760" s="41" t="s">
        <v>3087</v>
      </c>
      <c r="M760" s="41" t="s">
        <v>513</v>
      </c>
      <c r="N760" s="41" t="s">
        <v>3139</v>
      </c>
      <c r="O760" s="41" t="s">
        <v>2369</v>
      </c>
      <c r="P760" s="41" t="s">
        <v>3145</v>
      </c>
      <c r="Q760" s="42" t="s">
        <v>1343</v>
      </c>
    </row>
    <row r="761" spans="11:17" ht="17.25" customHeight="1" x14ac:dyDescent="0.25">
      <c r="K761" s="40" t="s">
        <v>656</v>
      </c>
      <c r="L761" s="41" t="s">
        <v>3088</v>
      </c>
      <c r="M761" s="41" t="s">
        <v>513</v>
      </c>
      <c r="N761" s="41" t="s">
        <v>3139</v>
      </c>
      <c r="O761" s="41" t="s">
        <v>2369</v>
      </c>
      <c r="P761" s="41" t="s">
        <v>3145</v>
      </c>
      <c r="Q761" s="42" t="s">
        <v>1343</v>
      </c>
    </row>
    <row r="762" spans="11:17" ht="17.25" customHeight="1" x14ac:dyDescent="0.25">
      <c r="K762" s="40" t="s">
        <v>595</v>
      </c>
      <c r="L762" s="41" t="s">
        <v>3089</v>
      </c>
      <c r="M762" s="41" t="s">
        <v>526</v>
      </c>
      <c r="N762" s="41" t="s">
        <v>3139</v>
      </c>
      <c r="O762" s="41" t="s">
        <v>2369</v>
      </c>
      <c r="P762" s="41" t="s">
        <v>3145</v>
      </c>
      <c r="Q762" s="42" t="s">
        <v>1343</v>
      </c>
    </row>
    <row r="763" spans="11:17" ht="17.25" customHeight="1" x14ac:dyDescent="0.25">
      <c r="K763" s="40" t="s">
        <v>667</v>
      </c>
      <c r="L763" s="41" t="s">
        <v>3090</v>
      </c>
      <c r="M763" s="41" t="s">
        <v>1322</v>
      </c>
      <c r="N763" s="41" t="s">
        <v>3139</v>
      </c>
      <c r="O763" s="41" t="s">
        <v>2369</v>
      </c>
      <c r="P763" s="41" t="s">
        <v>3145</v>
      </c>
      <c r="Q763" s="42" t="s">
        <v>1343</v>
      </c>
    </row>
    <row r="764" spans="11:17" ht="17.25" customHeight="1" x14ac:dyDescent="0.25">
      <c r="K764" s="40" t="s">
        <v>612</v>
      </c>
      <c r="L764" s="41" t="s">
        <v>3091</v>
      </c>
      <c r="M764" s="41" t="s">
        <v>1322</v>
      </c>
      <c r="N764" s="41" t="s">
        <v>3139</v>
      </c>
      <c r="O764" s="41" t="s">
        <v>2369</v>
      </c>
      <c r="P764" s="41" t="s">
        <v>3145</v>
      </c>
      <c r="Q764" s="42" t="s">
        <v>1343</v>
      </c>
    </row>
    <row r="765" spans="11:17" ht="17.25" customHeight="1" x14ac:dyDescent="0.25">
      <c r="K765" s="40" t="s">
        <v>1330</v>
      </c>
      <c r="L765" s="41" t="s">
        <v>3092</v>
      </c>
      <c r="M765" s="41" t="s">
        <v>508</v>
      </c>
      <c r="N765" s="41" t="s">
        <v>3139</v>
      </c>
      <c r="O765" s="41" t="s">
        <v>2369</v>
      </c>
      <c r="P765" s="41" t="s">
        <v>3145</v>
      </c>
      <c r="Q765" s="42" t="s">
        <v>1343</v>
      </c>
    </row>
    <row r="766" spans="11:17" ht="17.25" customHeight="1" x14ac:dyDescent="0.25">
      <c r="K766" s="40" t="s">
        <v>99</v>
      </c>
      <c r="L766" s="41" t="s">
        <v>2366</v>
      </c>
      <c r="M766" s="41" t="s">
        <v>529</v>
      </c>
      <c r="N766" s="41" t="s">
        <v>3142</v>
      </c>
      <c r="O766" s="41" t="s">
        <v>2369</v>
      </c>
      <c r="P766" s="41" t="s">
        <v>3145</v>
      </c>
      <c r="Q766" s="42" t="s">
        <v>1343</v>
      </c>
    </row>
    <row r="767" spans="11:17" ht="17.25" customHeight="1" x14ac:dyDescent="0.25">
      <c r="K767" s="40" t="s">
        <v>810</v>
      </c>
      <c r="L767" s="41" t="s">
        <v>3093</v>
      </c>
      <c r="M767" s="41" t="s">
        <v>513</v>
      </c>
      <c r="N767" s="41" t="s">
        <v>3139</v>
      </c>
      <c r="O767" s="41" t="s">
        <v>2369</v>
      </c>
      <c r="P767" s="41" t="s">
        <v>3145</v>
      </c>
      <c r="Q767" s="42" t="s">
        <v>1343</v>
      </c>
    </row>
    <row r="768" spans="11:17" ht="17.25" customHeight="1" thickBot="1" x14ac:dyDescent="0.3">
      <c r="K768" s="78" t="s">
        <v>811</v>
      </c>
      <c r="L768" s="79" t="s">
        <v>3094</v>
      </c>
      <c r="M768" s="79" t="s">
        <v>502</v>
      </c>
      <c r="N768" s="79" t="s">
        <v>3139</v>
      </c>
      <c r="O768" s="79" t="s">
        <v>2367</v>
      </c>
      <c r="P768" s="79" t="s">
        <v>3140</v>
      </c>
      <c r="Q768" s="80" t="s">
        <v>1341</v>
      </c>
    </row>
    <row r="769" spans="11:17" x14ac:dyDescent="0.25">
      <c r="K769" s="40" t="s">
        <v>3402</v>
      </c>
      <c r="L769" s="41" t="s">
        <v>3410</v>
      </c>
      <c r="M769" s="41" t="s">
        <v>544</v>
      </c>
      <c r="N769" s="41" t="s">
        <v>3142</v>
      </c>
      <c r="O769" s="41" t="s">
        <v>2369</v>
      </c>
      <c r="P769" s="41" t="s">
        <v>3140</v>
      </c>
      <c r="Q769" s="42" t="s">
        <v>1341</v>
      </c>
    </row>
    <row r="770" spans="11:17" x14ac:dyDescent="0.25">
      <c r="K770" s="40" t="s">
        <v>418</v>
      </c>
      <c r="L770" s="41" t="s">
        <v>3025</v>
      </c>
      <c r="M770" s="41" t="s">
        <v>527</v>
      </c>
      <c r="N770" s="41" t="s">
        <v>3139</v>
      </c>
      <c r="O770" s="41" t="s">
        <v>2369</v>
      </c>
      <c r="P770" s="41" t="s">
        <v>3145</v>
      </c>
      <c r="Q770" s="42" t="s">
        <v>1343</v>
      </c>
    </row>
    <row r="771" spans="11:17" x14ac:dyDescent="0.25">
      <c r="K771" s="40" t="s">
        <v>3366</v>
      </c>
      <c r="L771" s="41" t="s">
        <v>3388</v>
      </c>
      <c r="M771" s="41" t="s">
        <v>518</v>
      </c>
      <c r="N771" s="41" t="s">
        <v>3139</v>
      </c>
      <c r="O771" s="41" t="s">
        <v>2369</v>
      </c>
      <c r="P771" s="41" t="s">
        <v>3145</v>
      </c>
      <c r="Q771" s="42" t="s">
        <v>1343</v>
      </c>
    </row>
    <row r="772" spans="11:17" x14ac:dyDescent="0.25">
      <c r="K772" s="40" t="s">
        <v>3359</v>
      </c>
      <c r="L772" s="41" t="s">
        <v>3371</v>
      </c>
      <c r="M772" s="41" t="s">
        <v>520</v>
      </c>
      <c r="N772" s="41" t="s">
        <v>3139</v>
      </c>
      <c r="O772" s="41" t="s">
        <v>2369</v>
      </c>
      <c r="P772" s="41" t="s">
        <v>3145</v>
      </c>
      <c r="Q772" s="42" t="s">
        <v>1343</v>
      </c>
    </row>
    <row r="773" spans="11:17" x14ac:dyDescent="0.25">
      <c r="K773" s="40" t="s">
        <v>3439</v>
      </c>
      <c r="L773" s="41" t="s">
        <v>3449</v>
      </c>
      <c r="M773" s="41" t="s">
        <v>502</v>
      </c>
      <c r="N773" s="41" t="s">
        <v>3139</v>
      </c>
      <c r="O773" s="41" t="s">
        <v>2367</v>
      </c>
      <c r="P773" s="41" t="s">
        <v>3140</v>
      </c>
      <c r="Q773" s="42" t="s">
        <v>1341</v>
      </c>
    </row>
  </sheetData>
  <autoFilter ref="A1:AE775" xr:uid="{00000000-0009-0000-0000-000002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</autoFilter>
  <mergeCells count="2">
    <mergeCell ref="A1:I1"/>
    <mergeCell ref="F30:H3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5:S29"/>
  <sheetViews>
    <sheetView zoomScale="106" workbookViewId="0">
      <selection activeCell="CD17" sqref="CD17"/>
    </sheetView>
  </sheetViews>
  <sheetFormatPr defaultRowHeight="14.5" x14ac:dyDescent="0.35"/>
  <cols>
    <col min="3" max="3" width="14.26953125" customWidth="1"/>
    <col min="4" max="4" width="18.26953125" bestFit="1" customWidth="1"/>
    <col min="5" max="5" width="13.7265625" customWidth="1"/>
    <col min="6" max="6" width="14.26953125" customWidth="1"/>
    <col min="12" max="12" width="12.81640625" bestFit="1" customWidth="1"/>
    <col min="15" max="15" width="30.54296875" bestFit="1" customWidth="1"/>
    <col min="16" max="16" width="12.7265625" bestFit="1" customWidth="1"/>
  </cols>
  <sheetData>
    <row r="5" spans="3:19" x14ac:dyDescent="0.35">
      <c r="C5" s="169"/>
      <c r="D5" s="170" t="s">
        <v>3450</v>
      </c>
      <c r="E5" s="170" t="s">
        <v>3451</v>
      </c>
      <c r="F5" s="170" t="s">
        <v>3452</v>
      </c>
    </row>
    <row r="6" spans="3:19" x14ac:dyDescent="0.35">
      <c r="C6" s="171">
        <v>1367</v>
      </c>
      <c r="D6" s="169" t="s">
        <v>3476</v>
      </c>
      <c r="E6" s="169" t="s">
        <v>3451</v>
      </c>
      <c r="F6" s="169" t="s">
        <v>3452</v>
      </c>
    </row>
    <row r="7" spans="3:19" x14ac:dyDescent="0.35">
      <c r="C7" s="171">
        <v>2590595</v>
      </c>
      <c r="D7" s="169" t="s">
        <v>3475</v>
      </c>
      <c r="E7" s="169" t="s">
        <v>3451</v>
      </c>
      <c r="F7" s="169" t="s">
        <v>3452</v>
      </c>
    </row>
    <row r="11" spans="3:19" ht="15" thickBot="1" x14ac:dyDescent="0.4"/>
    <row r="12" spans="3:19" ht="15" thickBot="1" x14ac:dyDescent="0.4">
      <c r="C12" s="187" t="s">
        <v>759</v>
      </c>
      <c r="D12" s="189" t="s">
        <v>3455</v>
      </c>
      <c r="E12" s="190"/>
      <c r="F12" s="191"/>
      <c r="G12" s="192" t="s">
        <v>3456</v>
      </c>
      <c r="H12" s="192" t="s">
        <v>3457</v>
      </c>
      <c r="L12" s="186" t="s">
        <v>760</v>
      </c>
      <c r="M12" s="172" t="s">
        <v>759</v>
      </c>
      <c r="N12" s="173" t="s">
        <v>15</v>
      </c>
      <c r="O12" s="173" t="s">
        <v>506</v>
      </c>
      <c r="P12" s="173" t="s">
        <v>500</v>
      </c>
      <c r="Q12" s="173" t="s">
        <v>767</v>
      </c>
      <c r="R12" s="173" t="s">
        <v>805</v>
      </c>
      <c r="S12" s="173" t="s">
        <v>802</v>
      </c>
    </row>
    <row r="13" spans="3:19" ht="15" thickBot="1" x14ac:dyDescent="0.4">
      <c r="C13" s="188"/>
      <c r="D13" s="174" t="s">
        <v>3142</v>
      </c>
      <c r="E13" s="174" t="s">
        <v>3141</v>
      </c>
      <c r="F13" s="174" t="s">
        <v>3139</v>
      </c>
      <c r="G13" s="193"/>
      <c r="H13" s="193"/>
      <c r="L13" s="186"/>
      <c r="M13" s="175" t="s">
        <v>15</v>
      </c>
      <c r="N13" s="176" t="s">
        <v>3333</v>
      </c>
      <c r="O13" s="177" t="s">
        <v>3348</v>
      </c>
      <c r="P13" s="177" t="s">
        <v>3348</v>
      </c>
      <c r="Q13" s="177" t="s">
        <v>3349</v>
      </c>
      <c r="R13" s="177" t="s">
        <v>3350</v>
      </c>
      <c r="S13" s="177" t="s">
        <v>3351</v>
      </c>
    </row>
    <row r="14" spans="3:19" ht="15" thickBot="1" x14ac:dyDescent="0.4">
      <c r="C14" s="178" t="s">
        <v>3333</v>
      </c>
      <c r="D14" s="179">
        <v>1</v>
      </c>
      <c r="E14" s="179">
        <v>1</v>
      </c>
      <c r="F14" s="179">
        <v>1</v>
      </c>
      <c r="G14" s="179">
        <v>2</v>
      </c>
      <c r="H14" s="179">
        <v>8</v>
      </c>
      <c r="L14" s="186"/>
      <c r="M14" s="175" t="s">
        <v>506</v>
      </c>
      <c r="N14" s="177" t="s">
        <v>3348</v>
      </c>
      <c r="O14" s="176" t="s">
        <v>3333</v>
      </c>
      <c r="P14" s="177" t="s">
        <v>3348</v>
      </c>
      <c r="Q14" s="177" t="s">
        <v>3350</v>
      </c>
      <c r="R14" s="177" t="s">
        <v>3349</v>
      </c>
      <c r="S14" s="177" t="s">
        <v>3350</v>
      </c>
    </row>
    <row r="15" spans="3:19" ht="15" thickBot="1" x14ac:dyDescent="0.4">
      <c r="C15" s="178" t="s">
        <v>3200</v>
      </c>
      <c r="D15" s="179">
        <v>1</v>
      </c>
      <c r="E15" s="179">
        <v>1</v>
      </c>
      <c r="F15" s="179">
        <v>2</v>
      </c>
      <c r="G15" s="179">
        <v>3</v>
      </c>
      <c r="H15" s="179">
        <v>9</v>
      </c>
      <c r="L15" s="186"/>
      <c r="M15" s="175" t="s">
        <v>500</v>
      </c>
      <c r="N15" s="177" t="s">
        <v>3348</v>
      </c>
      <c r="O15" s="177" t="s">
        <v>3348</v>
      </c>
      <c r="P15" s="176" t="s">
        <v>3333</v>
      </c>
      <c r="Q15" s="177" t="s">
        <v>3351</v>
      </c>
      <c r="R15" s="177" t="s">
        <v>3350</v>
      </c>
      <c r="S15" s="177" t="s">
        <v>3349</v>
      </c>
    </row>
    <row r="16" spans="3:19" ht="15" thickBot="1" x14ac:dyDescent="0.4">
      <c r="C16" s="178" t="s">
        <v>3349</v>
      </c>
      <c r="D16" s="179">
        <v>1</v>
      </c>
      <c r="E16" s="179">
        <v>1</v>
      </c>
      <c r="F16" s="179">
        <v>2</v>
      </c>
      <c r="G16" s="179">
        <v>4</v>
      </c>
      <c r="H16" s="179">
        <v>10</v>
      </c>
      <c r="L16" s="186"/>
      <c r="M16" s="173" t="s">
        <v>767</v>
      </c>
      <c r="N16" s="177" t="s">
        <v>3349</v>
      </c>
      <c r="O16" s="177" t="s">
        <v>3350</v>
      </c>
      <c r="P16" s="177" t="s">
        <v>3351</v>
      </c>
      <c r="Q16" s="176" t="s">
        <v>3349</v>
      </c>
      <c r="R16" s="177" t="s">
        <v>3350</v>
      </c>
      <c r="S16" s="177" t="s">
        <v>3351</v>
      </c>
    </row>
    <row r="17" spans="3:19" ht="15" thickBot="1" x14ac:dyDescent="0.4">
      <c r="C17" s="178" t="s">
        <v>3350</v>
      </c>
      <c r="D17" s="179">
        <v>2</v>
      </c>
      <c r="E17" s="179">
        <v>2</v>
      </c>
      <c r="F17" s="179">
        <v>3</v>
      </c>
      <c r="G17" s="179">
        <v>5</v>
      </c>
      <c r="H17" s="179">
        <v>12</v>
      </c>
      <c r="L17" s="186"/>
      <c r="M17" s="173" t="s">
        <v>805</v>
      </c>
      <c r="N17" s="177" t="s">
        <v>3350</v>
      </c>
      <c r="O17" s="177" t="s">
        <v>3349</v>
      </c>
      <c r="P17" s="177" t="s">
        <v>3350</v>
      </c>
      <c r="Q17" s="177" t="s">
        <v>3350</v>
      </c>
      <c r="R17" s="176" t="s">
        <v>3349</v>
      </c>
      <c r="S17" s="177" t="s">
        <v>3350</v>
      </c>
    </row>
    <row r="18" spans="3:19" ht="15" thickBot="1" x14ac:dyDescent="0.4">
      <c r="C18" s="178" t="s">
        <v>3351</v>
      </c>
      <c r="D18" s="179">
        <v>3</v>
      </c>
      <c r="E18" s="179">
        <v>3</v>
      </c>
      <c r="F18" s="179">
        <v>4</v>
      </c>
      <c r="G18" s="179">
        <v>5</v>
      </c>
      <c r="H18" s="179">
        <v>14</v>
      </c>
      <c r="L18" s="186"/>
      <c r="M18" s="173" t="s">
        <v>802</v>
      </c>
      <c r="N18" s="177" t="s">
        <v>3351</v>
      </c>
      <c r="O18" s="177" t="s">
        <v>3350</v>
      </c>
      <c r="P18" s="177" t="s">
        <v>3349</v>
      </c>
      <c r="Q18" s="177" t="s">
        <v>3351</v>
      </c>
      <c r="R18" s="177" t="s">
        <v>3350</v>
      </c>
      <c r="S18" s="176" t="s">
        <v>3349</v>
      </c>
    </row>
    <row r="19" spans="3:19" ht="15" thickBot="1" x14ac:dyDescent="0.4">
      <c r="C19" s="178" t="s">
        <v>3348</v>
      </c>
      <c r="D19" s="179">
        <v>3</v>
      </c>
      <c r="E19" s="179">
        <v>3</v>
      </c>
      <c r="F19" s="179">
        <v>4</v>
      </c>
      <c r="G19" s="179">
        <v>4</v>
      </c>
      <c r="H19" s="179">
        <v>12</v>
      </c>
    </row>
    <row r="20" spans="3:19" x14ac:dyDescent="0.35">
      <c r="L20" s="181" t="s">
        <v>3460</v>
      </c>
      <c r="M20" s="181" t="s">
        <v>3461</v>
      </c>
      <c r="N20" s="181" t="s">
        <v>3308</v>
      </c>
      <c r="O20" s="181" t="s">
        <v>3462</v>
      </c>
      <c r="P20" s="182" t="s">
        <v>766</v>
      </c>
    </row>
    <row r="21" spans="3:19" ht="15" thickBot="1" x14ac:dyDescent="0.4">
      <c r="L21" s="169" t="s">
        <v>3454</v>
      </c>
      <c r="M21" s="169" t="s">
        <v>3450</v>
      </c>
      <c r="N21" s="169">
        <v>2590595</v>
      </c>
      <c r="O21" s="169" t="s">
        <v>3463</v>
      </c>
      <c r="P21" s="169" t="s">
        <v>3464</v>
      </c>
    </row>
    <row r="22" spans="3:19" ht="15" thickBot="1" x14ac:dyDescent="0.4">
      <c r="C22" s="187" t="s">
        <v>759</v>
      </c>
      <c r="D22" s="189" t="s">
        <v>3455</v>
      </c>
      <c r="E22" s="190"/>
      <c r="F22" s="191"/>
      <c r="G22" s="192" t="s">
        <v>3456</v>
      </c>
      <c r="H22" s="192" t="s">
        <v>3457</v>
      </c>
      <c r="L22" s="169" t="s">
        <v>3465</v>
      </c>
      <c r="M22" s="169" t="s">
        <v>3450</v>
      </c>
      <c r="N22" s="169">
        <v>2590595</v>
      </c>
      <c r="O22" s="169" t="s">
        <v>3463</v>
      </c>
      <c r="P22" s="183" t="s">
        <v>3466</v>
      </c>
    </row>
    <row r="23" spans="3:19" ht="15" thickBot="1" x14ac:dyDescent="0.4">
      <c r="C23" s="188"/>
      <c r="D23" s="174" t="s">
        <v>3142</v>
      </c>
      <c r="E23" s="174" t="s">
        <v>3141</v>
      </c>
      <c r="F23" s="174" t="s">
        <v>3139</v>
      </c>
      <c r="G23" s="193"/>
      <c r="H23" s="193"/>
      <c r="L23" s="169" t="s">
        <v>3467</v>
      </c>
      <c r="M23" s="169" t="s">
        <v>3451</v>
      </c>
      <c r="N23" s="169">
        <v>2590595</v>
      </c>
      <c r="O23" s="169" t="s">
        <v>3468</v>
      </c>
      <c r="P23" s="169" t="s">
        <v>3464</v>
      </c>
    </row>
    <row r="24" spans="3:19" ht="15" thickBot="1" x14ac:dyDescent="0.4">
      <c r="C24" s="178" t="s">
        <v>3333</v>
      </c>
      <c r="D24" s="179">
        <v>1</v>
      </c>
      <c r="E24" s="179">
        <v>1</v>
      </c>
      <c r="F24" s="179">
        <v>1</v>
      </c>
      <c r="G24" s="179">
        <v>3</v>
      </c>
      <c r="H24" s="179">
        <v>10</v>
      </c>
      <c r="L24" s="184" t="s">
        <v>3453</v>
      </c>
      <c r="M24" s="169" t="s">
        <v>3450</v>
      </c>
      <c r="N24" s="169">
        <v>1367</v>
      </c>
      <c r="O24" s="169" t="s">
        <v>3469</v>
      </c>
      <c r="P24" s="183" t="s">
        <v>3466</v>
      </c>
    </row>
    <row r="25" spans="3:19" ht="15" thickBot="1" x14ac:dyDescent="0.4">
      <c r="C25" s="178" t="s">
        <v>3200</v>
      </c>
      <c r="D25" s="179">
        <v>1</v>
      </c>
      <c r="E25" s="179">
        <v>1</v>
      </c>
      <c r="F25" s="179">
        <v>2</v>
      </c>
      <c r="G25" s="179">
        <v>4</v>
      </c>
      <c r="H25" s="179">
        <v>11</v>
      </c>
      <c r="L25" s="184" t="s">
        <v>3470</v>
      </c>
      <c r="M25" s="169" t="s">
        <v>3451</v>
      </c>
      <c r="N25" s="169">
        <v>1367</v>
      </c>
      <c r="O25" s="169" t="s">
        <v>3471</v>
      </c>
      <c r="P25" s="169" t="s">
        <v>3464</v>
      </c>
    </row>
    <row r="26" spans="3:19" ht="15" thickBot="1" x14ac:dyDescent="0.4">
      <c r="C26" s="178" t="s">
        <v>3349</v>
      </c>
      <c r="D26" s="179">
        <v>2</v>
      </c>
      <c r="E26" s="179">
        <v>2</v>
      </c>
      <c r="F26" s="179">
        <v>3</v>
      </c>
      <c r="G26" s="179">
        <v>5</v>
      </c>
      <c r="H26" s="179">
        <v>14</v>
      </c>
      <c r="L26" s="169"/>
      <c r="M26" s="169" t="s">
        <v>3472</v>
      </c>
      <c r="N26" s="169" t="s">
        <v>3473</v>
      </c>
      <c r="O26" s="169" t="s">
        <v>3474</v>
      </c>
      <c r="P26" s="169"/>
    </row>
    <row r="27" spans="3:19" ht="15" thickBot="1" x14ac:dyDescent="0.4">
      <c r="C27" s="178" t="s">
        <v>3350</v>
      </c>
      <c r="D27" s="179">
        <v>3</v>
      </c>
      <c r="E27" s="179">
        <v>3</v>
      </c>
      <c r="F27" s="179">
        <v>4</v>
      </c>
      <c r="G27" s="179">
        <v>6</v>
      </c>
      <c r="H27" s="179">
        <v>14</v>
      </c>
    </row>
    <row r="28" spans="3:19" ht="15" thickBot="1" x14ac:dyDescent="0.4">
      <c r="C28" s="178" t="s">
        <v>3351</v>
      </c>
      <c r="D28" s="179">
        <v>4</v>
      </c>
      <c r="E28" s="179">
        <v>4</v>
      </c>
      <c r="F28" s="179">
        <v>5</v>
      </c>
      <c r="G28" s="179">
        <v>6</v>
      </c>
      <c r="H28" s="179">
        <v>14</v>
      </c>
    </row>
    <row r="29" spans="3:19" ht="15" thickBot="1" x14ac:dyDescent="0.4">
      <c r="C29" s="178" t="s">
        <v>3348</v>
      </c>
      <c r="D29" s="179">
        <v>3</v>
      </c>
      <c r="E29" s="179">
        <v>3</v>
      </c>
      <c r="F29" s="179">
        <v>4</v>
      </c>
      <c r="G29" s="179">
        <v>6</v>
      </c>
      <c r="H29" s="179">
        <v>14</v>
      </c>
    </row>
  </sheetData>
  <mergeCells count="9">
    <mergeCell ref="L12:L18"/>
    <mergeCell ref="C22:C23"/>
    <mergeCell ref="D22:F22"/>
    <mergeCell ref="G22:G23"/>
    <mergeCell ref="H22:H23"/>
    <mergeCell ref="C12:C13"/>
    <mergeCell ref="D12:F12"/>
    <mergeCell ref="G12:G13"/>
    <mergeCell ref="H12:H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31"/>
  <sheetViews>
    <sheetView showGridLines="0" zoomScale="85" workbookViewId="0">
      <selection activeCell="B23" sqref="B23"/>
    </sheetView>
  </sheetViews>
  <sheetFormatPr defaultColWidth="8.7265625" defaultRowHeight="14.5" x14ac:dyDescent="0.35"/>
  <cols>
    <col min="1" max="1" width="16.1796875" style="23" bestFit="1" customWidth="1"/>
    <col min="2" max="2" width="30.453125" style="23" bestFit="1" customWidth="1"/>
    <col min="3" max="3" width="31" style="23" customWidth="1"/>
    <col min="4" max="4" width="13.81640625" style="23" hidden="1" customWidth="1"/>
    <col min="5" max="5" width="15.26953125" style="23" hidden="1" customWidth="1"/>
    <col min="6" max="16384" width="8.7265625" style="23"/>
  </cols>
  <sheetData>
    <row r="1" spans="1:8" x14ac:dyDescent="0.35">
      <c r="A1" s="24" t="s">
        <v>3135</v>
      </c>
      <c r="B1" s="24" t="s">
        <v>3136</v>
      </c>
      <c r="C1" s="24"/>
      <c r="D1" s="24" t="s">
        <v>3137</v>
      </c>
      <c r="E1" s="24" t="s">
        <v>3138</v>
      </c>
    </row>
    <row r="2" spans="1:8" x14ac:dyDescent="0.35">
      <c r="A2" s="25" t="s">
        <v>540</v>
      </c>
      <c r="B2" s="25" t="s">
        <v>2569</v>
      </c>
      <c r="C2" s="25" t="str">
        <f>B2&amp;" - "&amp;A2</f>
        <v>Huyện An Phú - An Giang</v>
      </c>
      <c r="D2" s="25" t="s">
        <v>3139</v>
      </c>
      <c r="E2" s="25" t="s">
        <v>3140</v>
      </c>
      <c r="F2" s="23">
        <f t="shared" ref="F2:F19" si="0">COUNTIF($B:$B,B2)</f>
        <v>1</v>
      </c>
      <c r="G2" s="23">
        <f t="shared" ref="G2:G19" si="1">COUNTIF($C:$C,C2)</f>
        <v>1</v>
      </c>
    </row>
    <row r="3" spans="1:8" x14ac:dyDescent="0.35">
      <c r="A3" s="25" t="s">
        <v>540</v>
      </c>
      <c r="B3" s="25" t="s">
        <v>2573</v>
      </c>
      <c r="C3" s="25" t="str">
        <f t="shared" ref="C3:C68" si="2">B3&amp;" - "&amp;A3</f>
        <v>Huyện Châu Phú - An Giang</v>
      </c>
      <c r="D3" s="25" t="s">
        <v>3139</v>
      </c>
      <c r="E3" s="25" t="s">
        <v>3140</v>
      </c>
      <c r="F3" s="23">
        <f t="shared" si="0"/>
        <v>1</v>
      </c>
      <c r="G3" s="23">
        <f t="shared" si="1"/>
        <v>1</v>
      </c>
    </row>
    <row r="4" spans="1:8" x14ac:dyDescent="0.35">
      <c r="A4" s="25" t="s">
        <v>540</v>
      </c>
      <c r="B4" s="25" t="s">
        <v>2523</v>
      </c>
      <c r="C4" s="25" t="str">
        <f t="shared" si="2"/>
        <v>Huyện Châu Thành - An Giang</v>
      </c>
      <c r="D4" s="25" t="s">
        <v>3141</v>
      </c>
      <c r="E4" s="25" t="s">
        <v>3140</v>
      </c>
      <c r="F4" s="23">
        <f t="shared" si="0"/>
        <v>10</v>
      </c>
      <c r="G4" s="23">
        <f t="shared" si="1"/>
        <v>1</v>
      </c>
    </row>
    <row r="5" spans="1:8" x14ac:dyDescent="0.35">
      <c r="A5" s="25" t="s">
        <v>540</v>
      </c>
      <c r="B5" s="25" t="s">
        <v>2574</v>
      </c>
      <c r="C5" s="25" t="str">
        <f t="shared" si="2"/>
        <v>Huyện Chợ Mới - An Giang</v>
      </c>
      <c r="D5" s="25" t="s">
        <v>3139</v>
      </c>
      <c r="E5" s="25" t="s">
        <v>3140</v>
      </c>
      <c r="F5" s="23">
        <f t="shared" si="0"/>
        <v>2</v>
      </c>
      <c r="G5" s="23">
        <f t="shared" si="1"/>
        <v>1</v>
      </c>
    </row>
    <row r="6" spans="1:8" x14ac:dyDescent="0.35">
      <c r="A6" s="25" t="s">
        <v>540</v>
      </c>
      <c r="B6" s="25" t="s">
        <v>2567</v>
      </c>
      <c r="C6" s="25" t="str">
        <f t="shared" si="2"/>
        <v>Huyện Phú Tân - An Giang</v>
      </c>
      <c r="D6" s="25" t="s">
        <v>3139</v>
      </c>
      <c r="E6" s="25" t="s">
        <v>3140</v>
      </c>
      <c r="F6" s="23">
        <f t="shared" si="0"/>
        <v>2</v>
      </c>
      <c r="G6" s="23">
        <f t="shared" si="1"/>
        <v>1</v>
      </c>
    </row>
    <row r="7" spans="1:8" x14ac:dyDescent="0.35">
      <c r="A7" s="25" t="s">
        <v>540</v>
      </c>
      <c r="B7" s="25" t="s">
        <v>2604</v>
      </c>
      <c r="C7" s="25" t="str">
        <f t="shared" si="2"/>
        <v>Huyện Thoại Sơn - An Giang</v>
      </c>
      <c r="D7" s="25" t="s">
        <v>3139</v>
      </c>
      <c r="E7" s="25" t="s">
        <v>3140</v>
      </c>
      <c r="F7" s="23">
        <f t="shared" si="0"/>
        <v>1</v>
      </c>
      <c r="G7" s="23">
        <f t="shared" si="1"/>
        <v>1</v>
      </c>
      <c r="H7" s="28" t="s">
        <v>3180</v>
      </c>
    </row>
    <row r="8" spans="1:8" x14ac:dyDescent="0.35">
      <c r="A8" s="25" t="s">
        <v>540</v>
      </c>
      <c r="B8" s="25" t="s">
        <v>2624</v>
      </c>
      <c r="C8" s="25" t="str">
        <f t="shared" si="2"/>
        <v>Huyện Tịnh Biên - An Giang</v>
      </c>
      <c r="D8" s="25" t="s">
        <v>3139</v>
      </c>
      <c r="E8" s="25" t="s">
        <v>3140</v>
      </c>
      <c r="F8" s="23">
        <f t="shared" si="0"/>
        <v>1</v>
      </c>
      <c r="G8" s="23">
        <f t="shared" si="1"/>
        <v>1</v>
      </c>
    </row>
    <row r="9" spans="1:8" x14ac:dyDescent="0.35">
      <c r="A9" s="25" t="s">
        <v>540</v>
      </c>
      <c r="B9" s="25" t="s">
        <v>2605</v>
      </c>
      <c r="C9" s="25" t="str">
        <f t="shared" si="2"/>
        <v>Huyện Tri Tôn - An Giang</v>
      </c>
      <c r="D9" s="25" t="s">
        <v>3139</v>
      </c>
      <c r="E9" s="25" t="s">
        <v>3140</v>
      </c>
      <c r="F9" s="23">
        <f t="shared" si="0"/>
        <v>1</v>
      </c>
      <c r="G9" s="23">
        <f t="shared" si="1"/>
        <v>1</v>
      </c>
    </row>
    <row r="10" spans="1:8" x14ac:dyDescent="0.35">
      <c r="A10" s="25" t="s">
        <v>540</v>
      </c>
      <c r="B10" s="25" t="s">
        <v>2609</v>
      </c>
      <c r="C10" s="25" t="str">
        <f t="shared" si="2"/>
        <v>Thành phố Châu Đốc - An Giang</v>
      </c>
      <c r="D10" s="25" t="s">
        <v>3139</v>
      </c>
      <c r="E10" s="25" t="s">
        <v>3140</v>
      </c>
      <c r="F10" s="23">
        <f t="shared" si="0"/>
        <v>1</v>
      </c>
      <c r="G10" s="23">
        <f t="shared" si="1"/>
        <v>1</v>
      </c>
    </row>
    <row r="11" spans="1:8" x14ac:dyDescent="0.35">
      <c r="A11" s="25" t="s">
        <v>540</v>
      </c>
      <c r="B11" s="25" t="s">
        <v>2503</v>
      </c>
      <c r="C11" s="25" t="str">
        <f t="shared" si="2"/>
        <v>Thành phố Long Xuyên - An Giang</v>
      </c>
      <c r="D11" s="25" t="s">
        <v>3142</v>
      </c>
      <c r="E11" s="25" t="s">
        <v>3140</v>
      </c>
      <c r="F11" s="23">
        <f t="shared" si="0"/>
        <v>1</v>
      </c>
      <c r="G11" s="23">
        <f t="shared" si="1"/>
        <v>1</v>
      </c>
    </row>
    <row r="12" spans="1:8" x14ac:dyDescent="0.35">
      <c r="A12" s="25" t="s">
        <v>540</v>
      </c>
      <c r="B12" s="27" t="s">
        <v>2602</v>
      </c>
      <c r="C12" s="25" t="str">
        <f t="shared" si="2"/>
        <v>Huyện Tân Châu - An Giang</v>
      </c>
      <c r="D12" s="25" t="s">
        <v>3139</v>
      </c>
      <c r="E12" s="25" t="s">
        <v>3140</v>
      </c>
      <c r="F12" s="23">
        <f t="shared" si="0"/>
        <v>2</v>
      </c>
      <c r="G12" s="23">
        <f t="shared" si="1"/>
        <v>1</v>
      </c>
    </row>
    <row r="13" spans="1:8" x14ac:dyDescent="0.35">
      <c r="A13" s="25" t="s">
        <v>3143</v>
      </c>
      <c r="B13" s="25" t="s">
        <v>2476</v>
      </c>
      <c r="C13" s="25" t="str">
        <f t="shared" si="2"/>
        <v>Huyện Châu Đức - Bà Rịa - Vũng Tàu</v>
      </c>
      <c r="D13" s="25" t="s">
        <v>3141</v>
      </c>
      <c r="E13" s="25" t="s">
        <v>3140</v>
      </c>
      <c r="F13" s="23">
        <f t="shared" si="0"/>
        <v>1</v>
      </c>
      <c r="G13" s="23">
        <f t="shared" si="1"/>
        <v>1</v>
      </c>
    </row>
    <row r="14" spans="1:8" x14ac:dyDescent="0.35">
      <c r="A14" s="25" t="s">
        <v>3143</v>
      </c>
      <c r="B14" s="26" t="s">
        <v>3176</v>
      </c>
      <c r="C14" s="25" t="str">
        <f t="shared" si="2"/>
        <v>Huyện đảo Côn Đảo - Bà Rịa - Vũng Tàu</v>
      </c>
      <c r="D14" s="25" t="s">
        <v>3139</v>
      </c>
      <c r="E14" s="25" t="s">
        <v>3140</v>
      </c>
      <c r="F14" s="23">
        <f t="shared" si="0"/>
        <v>1</v>
      </c>
      <c r="G14" s="23">
        <f t="shared" si="1"/>
        <v>1</v>
      </c>
    </row>
    <row r="15" spans="1:8" x14ac:dyDescent="0.35">
      <c r="A15" s="25" t="s">
        <v>3143</v>
      </c>
      <c r="B15" s="25" t="s">
        <v>2477</v>
      </c>
      <c r="C15" s="25" t="str">
        <f t="shared" si="2"/>
        <v>Huyện Đất Đỏ - Bà Rịa - Vũng Tàu</v>
      </c>
      <c r="D15" s="25" t="s">
        <v>3141</v>
      </c>
      <c r="E15" s="25" t="s">
        <v>3140</v>
      </c>
      <c r="F15" s="23">
        <f t="shared" si="0"/>
        <v>1</v>
      </c>
      <c r="G15" s="23">
        <f t="shared" si="1"/>
        <v>1</v>
      </c>
    </row>
    <row r="16" spans="1:8" x14ac:dyDescent="0.35">
      <c r="A16" s="25" t="s">
        <v>3143</v>
      </c>
      <c r="B16" s="25" t="s">
        <v>2478</v>
      </c>
      <c r="C16" s="25" t="str">
        <f t="shared" si="2"/>
        <v>Huyện Long Điền - Bà Rịa - Vũng Tàu</v>
      </c>
      <c r="D16" s="25" t="s">
        <v>3141</v>
      </c>
      <c r="E16" s="25" t="s">
        <v>3140</v>
      </c>
      <c r="F16" s="23">
        <f t="shared" si="0"/>
        <v>1</v>
      </c>
      <c r="G16" s="23">
        <f t="shared" si="1"/>
        <v>1</v>
      </c>
    </row>
    <row r="17" spans="1:7" x14ac:dyDescent="0.35">
      <c r="A17" s="25" t="s">
        <v>3143</v>
      </c>
      <c r="B17" s="25" t="s">
        <v>2479</v>
      </c>
      <c r="C17" s="25" t="str">
        <f t="shared" si="2"/>
        <v>Huyện Tân Thành - Bà Rịa - Vũng Tàu</v>
      </c>
      <c r="D17" s="25" t="s">
        <v>3141</v>
      </c>
      <c r="E17" s="25" t="s">
        <v>3140</v>
      </c>
      <c r="F17" s="23">
        <f t="shared" si="0"/>
        <v>1</v>
      </c>
      <c r="G17" s="23">
        <f t="shared" si="1"/>
        <v>1</v>
      </c>
    </row>
    <row r="18" spans="1:7" x14ac:dyDescent="0.35">
      <c r="A18" s="25" t="s">
        <v>3143</v>
      </c>
      <c r="B18" s="25" t="s">
        <v>2480</v>
      </c>
      <c r="C18" s="25" t="str">
        <f t="shared" si="2"/>
        <v>Huyện Xuyên Mộc - Bà Rịa - Vũng Tàu</v>
      </c>
      <c r="D18" s="25" t="s">
        <v>3139</v>
      </c>
      <c r="E18" s="25" t="s">
        <v>3140</v>
      </c>
      <c r="F18" s="23">
        <f t="shared" si="0"/>
        <v>1</v>
      </c>
      <c r="G18" s="23">
        <f t="shared" si="1"/>
        <v>1</v>
      </c>
    </row>
    <row r="19" spans="1:7" x14ac:dyDescent="0.35">
      <c r="A19" s="25" t="s">
        <v>3143</v>
      </c>
      <c r="B19" s="25" t="s">
        <v>2474</v>
      </c>
      <c r="C19" s="25" t="str">
        <f t="shared" si="2"/>
        <v>Thành phố Bà Rịa - Bà Rịa - Vũng Tàu</v>
      </c>
      <c r="D19" s="25" t="s">
        <v>3142</v>
      </c>
      <c r="E19" s="25" t="s">
        <v>3140</v>
      </c>
      <c r="F19" s="23">
        <f t="shared" si="0"/>
        <v>1</v>
      </c>
      <c r="G19" s="23">
        <f t="shared" si="1"/>
        <v>1</v>
      </c>
    </row>
    <row r="20" spans="1:7" x14ac:dyDescent="0.35">
      <c r="A20" s="25" t="s">
        <v>3143</v>
      </c>
      <c r="B20" s="25" t="s">
        <v>2481</v>
      </c>
      <c r="C20" s="25" t="str">
        <f t="shared" si="2"/>
        <v>TT Phú Mỹ - Bà Rịa - Vũng Tàu</v>
      </c>
      <c r="D20" s="25" t="s">
        <v>3139</v>
      </c>
      <c r="E20" s="25" t="s">
        <v>3140</v>
      </c>
    </row>
    <row r="21" spans="1:7" x14ac:dyDescent="0.35">
      <c r="A21" s="25" t="s">
        <v>3143</v>
      </c>
      <c r="B21" s="25" t="s">
        <v>2482</v>
      </c>
      <c r="C21" s="25" t="str">
        <f t="shared" si="2"/>
        <v>Thị Xã Phú Mỹ - Bà Rịa - Vũng Tàu</v>
      </c>
      <c r="D21" s="25" t="s">
        <v>3141</v>
      </c>
      <c r="E21" s="25" t="s">
        <v>3140</v>
      </c>
    </row>
    <row r="22" spans="1:7" x14ac:dyDescent="0.35">
      <c r="A22" s="25" t="s">
        <v>3143</v>
      </c>
      <c r="B22" s="25" t="s">
        <v>2475</v>
      </c>
      <c r="C22" s="25" t="str">
        <f t="shared" si="2"/>
        <v>Thành phố Vũng Tàu - Bà Rịa - Vũng Tàu</v>
      </c>
      <c r="D22" s="25" t="s">
        <v>3142</v>
      </c>
      <c r="E22" s="25" t="s">
        <v>3140</v>
      </c>
      <c r="F22" s="23">
        <f t="shared" ref="F22:F53" si="3">COUNTIF($B:$B,B22)</f>
        <v>1</v>
      </c>
      <c r="G22" s="23">
        <f t="shared" ref="G22:G53" si="4">COUNTIF($C:$C,C22)</f>
        <v>1</v>
      </c>
    </row>
    <row r="23" spans="1:7" x14ac:dyDescent="0.35">
      <c r="A23" s="25" t="s">
        <v>512</v>
      </c>
      <c r="B23" s="25" t="s">
        <v>3144</v>
      </c>
      <c r="C23" s="25" t="str">
        <f t="shared" si="2"/>
        <v>Huyện Hiệp Hòa - Bắc Giang</v>
      </c>
      <c r="D23" s="25" t="s">
        <v>3139</v>
      </c>
      <c r="E23" s="25" t="s">
        <v>3145</v>
      </c>
      <c r="F23" s="23">
        <f t="shared" si="3"/>
        <v>1</v>
      </c>
      <c r="G23" s="23">
        <f t="shared" si="4"/>
        <v>1</v>
      </c>
    </row>
    <row r="24" spans="1:7" x14ac:dyDescent="0.35">
      <c r="A24" s="25" t="s">
        <v>512</v>
      </c>
      <c r="B24" s="25" t="s">
        <v>2922</v>
      </c>
      <c r="C24" s="25" t="str">
        <f t="shared" si="2"/>
        <v>Huyện Lạng Giang - Bắc Giang</v>
      </c>
      <c r="D24" s="25" t="s">
        <v>3139</v>
      </c>
      <c r="E24" s="25" t="s">
        <v>3145</v>
      </c>
      <c r="F24" s="23">
        <f t="shared" si="3"/>
        <v>1</v>
      </c>
      <c r="G24" s="23">
        <f t="shared" si="4"/>
        <v>1</v>
      </c>
    </row>
    <row r="25" spans="1:7" x14ac:dyDescent="0.35">
      <c r="A25" s="25" t="s">
        <v>512</v>
      </c>
      <c r="B25" s="25" t="s">
        <v>2884</v>
      </c>
      <c r="C25" s="25" t="str">
        <f t="shared" si="2"/>
        <v>Huyện Lục Nam - Bắc Giang</v>
      </c>
      <c r="D25" s="25" t="s">
        <v>3141</v>
      </c>
      <c r="E25" s="25" t="s">
        <v>3145</v>
      </c>
      <c r="F25" s="23">
        <f t="shared" si="3"/>
        <v>1</v>
      </c>
      <c r="G25" s="23">
        <f t="shared" si="4"/>
        <v>1</v>
      </c>
    </row>
    <row r="26" spans="1:7" x14ac:dyDescent="0.35">
      <c r="A26" s="25" t="s">
        <v>512</v>
      </c>
      <c r="B26" s="25" t="s">
        <v>2967</v>
      </c>
      <c r="C26" s="25" t="str">
        <f t="shared" si="2"/>
        <v>Huyện Lục Ngạn - Bắc Giang</v>
      </c>
      <c r="D26" s="25" t="s">
        <v>3139</v>
      </c>
      <c r="E26" s="25" t="s">
        <v>3145</v>
      </c>
      <c r="F26" s="23">
        <f t="shared" si="3"/>
        <v>1</v>
      </c>
      <c r="G26" s="23">
        <f t="shared" si="4"/>
        <v>1</v>
      </c>
    </row>
    <row r="27" spans="1:7" x14ac:dyDescent="0.35">
      <c r="A27" s="25" t="s">
        <v>512</v>
      </c>
      <c r="B27" s="25" t="s">
        <v>2930</v>
      </c>
      <c r="C27" s="25" t="str">
        <f t="shared" si="2"/>
        <v>Huyện Sơn Động - Bắc Giang</v>
      </c>
      <c r="D27" s="25" t="s">
        <v>3139</v>
      </c>
      <c r="E27" s="25" t="s">
        <v>3145</v>
      </c>
      <c r="F27" s="23">
        <f t="shared" si="3"/>
        <v>1</v>
      </c>
      <c r="G27" s="23">
        <f t="shared" si="4"/>
        <v>1</v>
      </c>
    </row>
    <row r="28" spans="1:7" x14ac:dyDescent="0.35">
      <c r="A28" s="25" t="s">
        <v>512</v>
      </c>
      <c r="B28" s="25" t="s">
        <v>2931</v>
      </c>
      <c r="C28" s="25" t="str">
        <f t="shared" si="2"/>
        <v>Huyện Tân Yên - Bắc Giang</v>
      </c>
      <c r="D28" s="25" t="s">
        <v>3139</v>
      </c>
      <c r="E28" s="25" t="s">
        <v>3145</v>
      </c>
      <c r="F28" s="23">
        <f t="shared" si="3"/>
        <v>1</v>
      </c>
      <c r="G28" s="23">
        <f t="shared" si="4"/>
        <v>1</v>
      </c>
    </row>
    <row r="29" spans="1:7" x14ac:dyDescent="0.35">
      <c r="A29" s="25" t="s">
        <v>512</v>
      </c>
      <c r="B29" s="25" t="s">
        <v>2851</v>
      </c>
      <c r="C29" s="25" t="str">
        <f t="shared" si="2"/>
        <v>Huyện Việt Yên - Bắc Giang</v>
      </c>
      <c r="D29" s="25" t="s">
        <v>3141</v>
      </c>
      <c r="E29" s="25" t="s">
        <v>3145</v>
      </c>
      <c r="F29" s="23">
        <f t="shared" si="3"/>
        <v>1</v>
      </c>
      <c r="G29" s="23">
        <f t="shared" si="4"/>
        <v>1</v>
      </c>
    </row>
    <row r="30" spans="1:7" x14ac:dyDescent="0.35">
      <c r="A30" s="25" t="s">
        <v>512</v>
      </c>
      <c r="B30" s="25" t="s">
        <v>2854</v>
      </c>
      <c r="C30" s="25" t="str">
        <f t="shared" si="2"/>
        <v>Huyện Yên Dũng - Bắc Giang</v>
      </c>
      <c r="D30" s="25" t="s">
        <v>3141</v>
      </c>
      <c r="E30" s="25" t="s">
        <v>3145</v>
      </c>
      <c r="F30" s="23">
        <f t="shared" si="3"/>
        <v>1</v>
      </c>
      <c r="G30" s="23">
        <f t="shared" si="4"/>
        <v>1</v>
      </c>
    </row>
    <row r="31" spans="1:7" x14ac:dyDescent="0.35">
      <c r="A31" s="25" t="s">
        <v>512</v>
      </c>
      <c r="B31" s="25" t="s">
        <v>2941</v>
      </c>
      <c r="C31" s="25" t="str">
        <f t="shared" si="2"/>
        <v>Huyện Yên Thế - Bắc Giang</v>
      </c>
      <c r="D31" s="25" t="s">
        <v>3139</v>
      </c>
      <c r="E31" s="25" t="s">
        <v>3145</v>
      </c>
      <c r="F31" s="23">
        <f t="shared" si="3"/>
        <v>1</v>
      </c>
      <c r="G31" s="23">
        <f t="shared" si="4"/>
        <v>1</v>
      </c>
    </row>
    <row r="32" spans="1:7" x14ac:dyDescent="0.35">
      <c r="A32" s="25" t="s">
        <v>512</v>
      </c>
      <c r="B32" s="25" t="s">
        <v>2810</v>
      </c>
      <c r="C32" s="25" t="str">
        <f t="shared" si="2"/>
        <v>Thành phố Bắc Giang - Bắc Giang</v>
      </c>
      <c r="D32" s="25" t="s">
        <v>3142</v>
      </c>
      <c r="E32" s="25" t="s">
        <v>3145</v>
      </c>
      <c r="F32" s="23">
        <f t="shared" si="3"/>
        <v>1</v>
      </c>
      <c r="G32" s="23">
        <f t="shared" si="4"/>
        <v>1</v>
      </c>
    </row>
    <row r="33" spans="1:7" x14ac:dyDescent="0.35">
      <c r="A33" s="25" t="s">
        <v>510</v>
      </c>
      <c r="B33" s="25" t="s">
        <v>2960</v>
      </c>
      <c r="C33" s="25" t="str">
        <f t="shared" si="2"/>
        <v>Huyện Ba Bể - Bắc Kạn</v>
      </c>
      <c r="D33" s="25" t="s">
        <v>3139</v>
      </c>
      <c r="E33" s="25" t="s">
        <v>3145</v>
      </c>
      <c r="F33" s="23">
        <f t="shared" si="3"/>
        <v>1</v>
      </c>
      <c r="G33" s="23">
        <f t="shared" si="4"/>
        <v>1</v>
      </c>
    </row>
    <row r="34" spans="1:7" x14ac:dyDescent="0.35">
      <c r="A34" s="25" t="s">
        <v>510</v>
      </c>
      <c r="B34" s="25" t="s">
        <v>3003</v>
      </c>
      <c r="C34" s="25" t="str">
        <f t="shared" si="2"/>
        <v>Huyện Bạch Thông - Bắc Kạn</v>
      </c>
      <c r="D34" s="25" t="s">
        <v>3139</v>
      </c>
      <c r="E34" s="25" t="s">
        <v>3145</v>
      </c>
      <c r="F34" s="23">
        <f t="shared" si="3"/>
        <v>1</v>
      </c>
      <c r="G34" s="23">
        <f t="shared" si="4"/>
        <v>1</v>
      </c>
    </row>
    <row r="35" spans="1:7" x14ac:dyDescent="0.35">
      <c r="A35" s="25" t="s">
        <v>510</v>
      </c>
      <c r="B35" s="25" t="s">
        <v>3043</v>
      </c>
      <c r="C35" s="25" t="str">
        <f t="shared" si="2"/>
        <v>Huyện Chợ Đồn - Bắc Kạn</v>
      </c>
      <c r="D35" s="25" t="s">
        <v>3139</v>
      </c>
      <c r="E35" s="25" t="s">
        <v>3145</v>
      </c>
      <c r="F35" s="23">
        <f t="shared" si="3"/>
        <v>1</v>
      </c>
      <c r="G35" s="23">
        <f t="shared" si="4"/>
        <v>1</v>
      </c>
    </row>
    <row r="36" spans="1:7" x14ac:dyDescent="0.35">
      <c r="A36" s="25" t="s">
        <v>510</v>
      </c>
      <c r="B36" s="25" t="s">
        <v>2574</v>
      </c>
      <c r="C36" s="25" t="str">
        <f t="shared" si="2"/>
        <v>Huyện Chợ Mới - Bắc Kạn</v>
      </c>
      <c r="D36" s="25" t="s">
        <v>3139</v>
      </c>
      <c r="E36" s="25" t="s">
        <v>3145</v>
      </c>
      <c r="F36" s="23">
        <f t="shared" si="3"/>
        <v>2</v>
      </c>
      <c r="G36" s="23">
        <f t="shared" si="4"/>
        <v>1</v>
      </c>
    </row>
    <row r="37" spans="1:7" x14ac:dyDescent="0.35">
      <c r="A37" s="25" t="s">
        <v>510</v>
      </c>
      <c r="B37" s="25" t="s">
        <v>3067</v>
      </c>
      <c r="C37" s="25" t="str">
        <f t="shared" si="2"/>
        <v>Huyện Na Rì - Bắc Kạn</v>
      </c>
      <c r="D37" s="25" t="s">
        <v>3139</v>
      </c>
      <c r="E37" s="25" t="s">
        <v>3145</v>
      </c>
      <c r="F37" s="23">
        <f t="shared" si="3"/>
        <v>1</v>
      </c>
      <c r="G37" s="23">
        <f t="shared" si="4"/>
        <v>1</v>
      </c>
    </row>
    <row r="38" spans="1:7" x14ac:dyDescent="0.35">
      <c r="A38" s="25" t="s">
        <v>510</v>
      </c>
      <c r="B38" s="25" t="s">
        <v>3063</v>
      </c>
      <c r="C38" s="25" t="str">
        <f t="shared" si="2"/>
        <v>Huyện Ngân Sơn - Bắc Kạn</v>
      </c>
      <c r="D38" s="25" t="s">
        <v>3139</v>
      </c>
      <c r="E38" s="25" t="s">
        <v>3145</v>
      </c>
      <c r="F38" s="23">
        <f t="shared" si="3"/>
        <v>1</v>
      </c>
      <c r="G38" s="23">
        <f t="shared" si="4"/>
        <v>1</v>
      </c>
    </row>
    <row r="39" spans="1:7" x14ac:dyDescent="0.35">
      <c r="A39" s="25" t="s">
        <v>510</v>
      </c>
      <c r="B39" s="25" t="s">
        <v>3058</v>
      </c>
      <c r="C39" s="25" t="str">
        <f t="shared" si="2"/>
        <v>Huyện Pác Nặm - Bắc Kạn</v>
      </c>
      <c r="D39" s="25" t="s">
        <v>3139</v>
      </c>
      <c r="E39" s="25" t="s">
        <v>3145</v>
      </c>
      <c r="F39" s="23">
        <f t="shared" si="3"/>
        <v>1</v>
      </c>
      <c r="G39" s="23">
        <f t="shared" si="4"/>
        <v>1</v>
      </c>
    </row>
    <row r="40" spans="1:7" x14ac:dyDescent="0.35">
      <c r="A40" s="25" t="s">
        <v>510</v>
      </c>
      <c r="B40" s="25" t="s">
        <v>3146</v>
      </c>
      <c r="C40" s="25" t="str">
        <f t="shared" si="2"/>
        <v>Thành Phố Bắc Kạn - Bắc Kạn</v>
      </c>
      <c r="D40" s="25" t="s">
        <v>3142</v>
      </c>
      <c r="E40" s="25" t="s">
        <v>3145</v>
      </c>
      <c r="F40" s="23">
        <f t="shared" si="3"/>
        <v>1</v>
      </c>
      <c r="G40" s="23">
        <f t="shared" si="4"/>
        <v>1</v>
      </c>
    </row>
    <row r="41" spans="1:7" x14ac:dyDescent="0.35">
      <c r="A41" s="25" t="s">
        <v>542</v>
      </c>
      <c r="B41" s="25" t="s">
        <v>2669</v>
      </c>
      <c r="C41" s="25" t="str">
        <f t="shared" si="2"/>
        <v>Huyện Đông Hải - Bạc Liêu</v>
      </c>
      <c r="D41" s="25" t="s">
        <v>3141</v>
      </c>
      <c r="E41" s="25" t="s">
        <v>3140</v>
      </c>
      <c r="F41" s="23">
        <f t="shared" si="3"/>
        <v>1</v>
      </c>
      <c r="G41" s="23">
        <f t="shared" si="4"/>
        <v>1</v>
      </c>
    </row>
    <row r="42" spans="1:7" x14ac:dyDescent="0.35">
      <c r="A42" s="25" t="s">
        <v>542</v>
      </c>
      <c r="B42" s="26" t="s">
        <v>2530</v>
      </c>
      <c r="C42" s="25" t="str">
        <f t="shared" si="2"/>
        <v>Huyện Hòa Bình - Bạc Liêu</v>
      </c>
      <c r="D42" s="25" t="s">
        <v>3141</v>
      </c>
      <c r="E42" s="25" t="s">
        <v>3140</v>
      </c>
      <c r="F42" s="23">
        <f t="shared" si="3"/>
        <v>1</v>
      </c>
      <c r="G42" s="23">
        <f t="shared" si="4"/>
        <v>1</v>
      </c>
    </row>
    <row r="43" spans="1:7" x14ac:dyDescent="0.35">
      <c r="A43" s="25" t="s">
        <v>542</v>
      </c>
      <c r="B43" s="25" t="s">
        <v>2668</v>
      </c>
      <c r="C43" s="25" t="str">
        <f t="shared" si="2"/>
        <v>Huyện Hồng Dân - Bạc Liêu</v>
      </c>
      <c r="D43" s="25" t="s">
        <v>3141</v>
      </c>
      <c r="E43" s="25" t="s">
        <v>3140</v>
      </c>
      <c r="F43" s="23">
        <f t="shared" si="3"/>
        <v>1</v>
      </c>
      <c r="G43" s="23">
        <f t="shared" si="4"/>
        <v>1</v>
      </c>
    </row>
    <row r="44" spans="1:7" x14ac:dyDescent="0.35">
      <c r="A44" s="25" t="s">
        <v>542</v>
      </c>
      <c r="B44" s="25" t="s">
        <v>2627</v>
      </c>
      <c r="C44" s="25" t="str">
        <f t="shared" si="2"/>
        <v>Huyện Phước Long - Bạc Liêu</v>
      </c>
      <c r="D44" s="25" t="s">
        <v>3141</v>
      </c>
      <c r="E44" s="25" t="s">
        <v>3140</v>
      </c>
      <c r="F44" s="23">
        <f t="shared" si="3"/>
        <v>1</v>
      </c>
      <c r="G44" s="23">
        <f t="shared" si="4"/>
        <v>1</v>
      </c>
    </row>
    <row r="45" spans="1:7" x14ac:dyDescent="0.35">
      <c r="A45" s="25" t="s">
        <v>542</v>
      </c>
      <c r="B45" s="25" t="s">
        <v>2551</v>
      </c>
      <c r="C45" s="25" t="str">
        <f t="shared" si="2"/>
        <v>Huyện Vĩnh Lợi - Bạc Liêu</v>
      </c>
      <c r="D45" s="25" t="s">
        <v>3141</v>
      </c>
      <c r="E45" s="25" t="s">
        <v>3140</v>
      </c>
      <c r="F45" s="23">
        <f t="shared" si="3"/>
        <v>1</v>
      </c>
      <c r="G45" s="23">
        <f t="shared" si="4"/>
        <v>1</v>
      </c>
    </row>
    <row r="46" spans="1:7" x14ac:dyDescent="0.35">
      <c r="A46" s="25" t="s">
        <v>542</v>
      </c>
      <c r="B46" s="25" t="s">
        <v>2496</v>
      </c>
      <c r="C46" s="25" t="str">
        <f t="shared" si="2"/>
        <v>Thành phố Bạc Liêu - Bạc Liêu</v>
      </c>
      <c r="D46" s="25" t="s">
        <v>3142</v>
      </c>
      <c r="E46" s="25" t="s">
        <v>3140</v>
      </c>
      <c r="F46" s="23">
        <f t="shared" si="3"/>
        <v>1</v>
      </c>
      <c r="G46" s="23">
        <f t="shared" si="4"/>
        <v>1</v>
      </c>
    </row>
    <row r="47" spans="1:7" x14ac:dyDescent="0.35">
      <c r="A47" s="25" t="s">
        <v>542</v>
      </c>
      <c r="B47" s="26" t="s">
        <v>2633</v>
      </c>
      <c r="C47" s="25" t="str">
        <f t="shared" si="2"/>
        <v>Huyện Giá Rai - Bạc Liêu</v>
      </c>
      <c r="D47" s="25" t="s">
        <v>3141</v>
      </c>
      <c r="E47" s="25" t="s">
        <v>3140</v>
      </c>
      <c r="F47" s="23">
        <f t="shared" si="3"/>
        <v>1</v>
      </c>
      <c r="G47" s="23">
        <f t="shared" si="4"/>
        <v>1</v>
      </c>
    </row>
    <row r="48" spans="1:7" x14ac:dyDescent="0.35">
      <c r="A48" s="25" t="s">
        <v>509</v>
      </c>
      <c r="B48" s="25" t="s">
        <v>2917</v>
      </c>
      <c r="C48" s="25" t="str">
        <f t="shared" si="2"/>
        <v>Huyện Gia Bình - Bắc Ninh</v>
      </c>
      <c r="D48" s="25" t="s">
        <v>3141</v>
      </c>
      <c r="E48" s="25" t="s">
        <v>3145</v>
      </c>
      <c r="F48" s="23">
        <f t="shared" si="3"/>
        <v>1</v>
      </c>
      <c r="G48" s="23">
        <f t="shared" si="4"/>
        <v>1</v>
      </c>
    </row>
    <row r="49" spans="1:7" x14ac:dyDescent="0.35">
      <c r="A49" s="25" t="s">
        <v>509</v>
      </c>
      <c r="B49" s="25" t="s">
        <v>3002</v>
      </c>
      <c r="C49" s="25" t="str">
        <f t="shared" si="2"/>
        <v>Huyện Lương Tài - Bắc Ninh</v>
      </c>
      <c r="D49" s="25" t="s">
        <v>3139</v>
      </c>
      <c r="E49" s="25" t="s">
        <v>3145</v>
      </c>
      <c r="F49" s="23">
        <f t="shared" si="3"/>
        <v>1</v>
      </c>
      <c r="G49" s="23">
        <f t="shared" si="4"/>
        <v>1</v>
      </c>
    </row>
    <row r="50" spans="1:7" x14ac:dyDescent="0.35">
      <c r="A50" s="25" t="s">
        <v>509</v>
      </c>
      <c r="B50" s="25" t="s">
        <v>2847</v>
      </c>
      <c r="C50" s="25" t="str">
        <f t="shared" si="2"/>
        <v>Huyện Quế Võ - Bắc Ninh</v>
      </c>
      <c r="D50" s="25" t="s">
        <v>3141</v>
      </c>
      <c r="E50" s="25" t="s">
        <v>3145</v>
      </c>
      <c r="F50" s="23">
        <f t="shared" si="3"/>
        <v>1</v>
      </c>
      <c r="G50" s="23">
        <f t="shared" si="4"/>
        <v>1</v>
      </c>
    </row>
    <row r="51" spans="1:7" x14ac:dyDescent="0.35">
      <c r="A51" s="25" t="s">
        <v>509</v>
      </c>
      <c r="B51" s="25" t="s">
        <v>2848</v>
      </c>
      <c r="C51" s="25" t="str">
        <f t="shared" si="2"/>
        <v>Huyện Thuận Thành - Bắc Ninh</v>
      </c>
      <c r="D51" s="25" t="s">
        <v>3141</v>
      </c>
      <c r="E51" s="25" t="s">
        <v>3145</v>
      </c>
      <c r="F51" s="23">
        <f t="shared" si="3"/>
        <v>1</v>
      </c>
      <c r="G51" s="23">
        <f t="shared" si="4"/>
        <v>1</v>
      </c>
    </row>
    <row r="52" spans="1:7" x14ac:dyDescent="0.35">
      <c r="A52" s="25" t="s">
        <v>509</v>
      </c>
      <c r="B52" s="25" t="s">
        <v>2850</v>
      </c>
      <c r="C52" s="25" t="str">
        <f t="shared" si="2"/>
        <v>Huyện Tiên Du - Bắc Ninh</v>
      </c>
      <c r="D52" s="25" t="s">
        <v>3141</v>
      </c>
      <c r="E52" s="25" t="s">
        <v>3145</v>
      </c>
      <c r="F52" s="23">
        <f t="shared" si="3"/>
        <v>1</v>
      </c>
      <c r="G52" s="23">
        <f t="shared" si="4"/>
        <v>1</v>
      </c>
    </row>
    <row r="53" spans="1:7" x14ac:dyDescent="0.35">
      <c r="A53" s="25" t="s">
        <v>509</v>
      </c>
      <c r="B53" s="25" t="s">
        <v>2857</v>
      </c>
      <c r="C53" s="25" t="str">
        <f t="shared" si="2"/>
        <v>Huyện Yên Phong - Bắc Ninh</v>
      </c>
      <c r="D53" s="25" t="s">
        <v>3141</v>
      </c>
      <c r="E53" s="25" t="s">
        <v>3145</v>
      </c>
      <c r="F53" s="23">
        <f t="shared" si="3"/>
        <v>1</v>
      </c>
      <c r="G53" s="23">
        <f t="shared" si="4"/>
        <v>1</v>
      </c>
    </row>
    <row r="54" spans="1:7" x14ac:dyDescent="0.35">
      <c r="A54" s="25" t="s">
        <v>509</v>
      </c>
      <c r="B54" s="25" t="s">
        <v>2812</v>
      </c>
      <c r="C54" s="25" t="str">
        <f t="shared" si="2"/>
        <v>Thành phố Bắc Ninh - Bắc Ninh</v>
      </c>
      <c r="D54" s="25" t="s">
        <v>3142</v>
      </c>
      <c r="E54" s="25" t="s">
        <v>3145</v>
      </c>
      <c r="F54" s="23">
        <f t="shared" ref="F54:F85" si="5">COUNTIF($B:$B,B54)</f>
        <v>1</v>
      </c>
      <c r="G54" s="23">
        <f t="shared" ref="G54:G85" si="6">COUNTIF($C:$C,C54)</f>
        <v>1</v>
      </c>
    </row>
    <row r="55" spans="1:7" x14ac:dyDescent="0.35">
      <c r="A55" s="25" t="s">
        <v>509</v>
      </c>
      <c r="B55" s="25" t="s">
        <v>3147</v>
      </c>
      <c r="C55" s="25" t="str">
        <f t="shared" si="2"/>
        <v>Thị xã Từ Sơn - Bắc Ninh</v>
      </c>
      <c r="D55" s="25" t="s">
        <v>3141</v>
      </c>
      <c r="E55" s="25" t="s">
        <v>3145</v>
      </c>
      <c r="F55" s="23">
        <f t="shared" si="5"/>
        <v>1</v>
      </c>
      <c r="G55" s="23">
        <f t="shared" si="6"/>
        <v>1</v>
      </c>
    </row>
    <row r="56" spans="1:7" x14ac:dyDescent="0.35">
      <c r="A56" s="25" t="s">
        <v>543</v>
      </c>
      <c r="B56" s="25" t="s">
        <v>2641</v>
      </c>
      <c r="C56" s="25" t="str">
        <f t="shared" si="2"/>
        <v>Huyện Ba Tri - Bến Tre</v>
      </c>
      <c r="D56" s="25" t="s">
        <v>3139</v>
      </c>
      <c r="E56" s="25" t="s">
        <v>3140</v>
      </c>
      <c r="F56" s="23">
        <f t="shared" si="5"/>
        <v>1</v>
      </c>
      <c r="G56" s="23">
        <f t="shared" si="6"/>
        <v>1</v>
      </c>
    </row>
    <row r="57" spans="1:7" x14ac:dyDescent="0.35">
      <c r="A57" s="25" t="s">
        <v>543</v>
      </c>
      <c r="B57" s="25" t="s">
        <v>2659</v>
      </c>
      <c r="C57" s="25" t="str">
        <f t="shared" si="2"/>
        <v>Huyện Bình Đại - Bến Tre</v>
      </c>
      <c r="D57" s="25" t="s">
        <v>3139</v>
      </c>
      <c r="E57" s="25" t="s">
        <v>3140</v>
      </c>
      <c r="F57" s="23">
        <f t="shared" si="5"/>
        <v>1</v>
      </c>
      <c r="G57" s="23">
        <f t="shared" si="6"/>
        <v>1</v>
      </c>
    </row>
    <row r="58" spans="1:7" x14ac:dyDescent="0.35">
      <c r="A58" s="25" t="s">
        <v>543</v>
      </c>
      <c r="B58" s="25" t="s">
        <v>2523</v>
      </c>
      <c r="C58" s="25" t="str">
        <f t="shared" si="2"/>
        <v>Huyện Châu Thành - Bến Tre</v>
      </c>
      <c r="D58" s="25" t="s">
        <v>3141</v>
      </c>
      <c r="E58" s="25" t="s">
        <v>3140</v>
      </c>
      <c r="F58" s="23">
        <f t="shared" si="5"/>
        <v>10</v>
      </c>
      <c r="G58" s="23">
        <f t="shared" si="6"/>
        <v>1</v>
      </c>
    </row>
    <row r="59" spans="1:7" x14ac:dyDescent="0.35">
      <c r="A59" s="25" t="s">
        <v>543</v>
      </c>
      <c r="B59" s="25" t="s">
        <v>2697</v>
      </c>
      <c r="C59" s="25" t="str">
        <f t="shared" si="2"/>
        <v>Huyện Chợ Lách - Bến Tre</v>
      </c>
      <c r="D59" s="25" t="s">
        <v>3139</v>
      </c>
      <c r="E59" s="25" t="s">
        <v>3140</v>
      </c>
      <c r="F59" s="23">
        <f t="shared" si="5"/>
        <v>1</v>
      </c>
      <c r="G59" s="23">
        <f t="shared" si="6"/>
        <v>1</v>
      </c>
    </row>
    <row r="60" spans="1:7" x14ac:dyDescent="0.35">
      <c r="A60" s="25" t="s">
        <v>543</v>
      </c>
      <c r="B60" s="25" t="s">
        <v>2540</v>
      </c>
      <c r="C60" s="25" t="str">
        <f t="shared" si="2"/>
        <v>Huyện Giồng Trôm - Bến Tre</v>
      </c>
      <c r="D60" s="25" t="s">
        <v>3141</v>
      </c>
      <c r="E60" s="25" t="s">
        <v>3140</v>
      </c>
      <c r="F60" s="23">
        <f t="shared" si="5"/>
        <v>1</v>
      </c>
      <c r="G60" s="23">
        <f t="shared" si="6"/>
        <v>1</v>
      </c>
    </row>
    <row r="61" spans="1:7" x14ac:dyDescent="0.35">
      <c r="A61" s="25" t="s">
        <v>543</v>
      </c>
      <c r="B61" s="25" t="s">
        <v>2543</v>
      </c>
      <c r="C61" s="25" t="str">
        <f t="shared" si="2"/>
        <v>Huyện Mỏ Cày Bắc - Bến Tre</v>
      </c>
      <c r="D61" s="25" t="s">
        <v>3141</v>
      </c>
      <c r="E61" s="25" t="s">
        <v>3140</v>
      </c>
      <c r="F61" s="23">
        <f t="shared" si="5"/>
        <v>1</v>
      </c>
      <c r="G61" s="23">
        <f t="shared" si="6"/>
        <v>1</v>
      </c>
    </row>
    <row r="62" spans="1:7" x14ac:dyDescent="0.35">
      <c r="A62" s="25" t="s">
        <v>543</v>
      </c>
      <c r="B62" s="25" t="s">
        <v>2548</v>
      </c>
      <c r="C62" s="25" t="str">
        <f t="shared" si="2"/>
        <v>Huyện Mỏ Cày Nam - Bến Tre</v>
      </c>
      <c r="D62" s="25" t="s">
        <v>3141</v>
      </c>
      <c r="E62" s="25" t="s">
        <v>3140</v>
      </c>
      <c r="F62" s="23">
        <f t="shared" si="5"/>
        <v>1</v>
      </c>
      <c r="G62" s="23">
        <f t="shared" si="6"/>
        <v>1</v>
      </c>
    </row>
    <row r="63" spans="1:7" x14ac:dyDescent="0.35">
      <c r="A63" s="25" t="s">
        <v>543</v>
      </c>
      <c r="B63" s="25" t="s">
        <v>2647</v>
      </c>
      <c r="C63" s="25" t="str">
        <f t="shared" si="2"/>
        <v>Huyện Thạnh Phú - Bến Tre</v>
      </c>
      <c r="D63" s="25" t="s">
        <v>3139</v>
      </c>
      <c r="E63" s="25" t="s">
        <v>3140</v>
      </c>
      <c r="F63" s="23">
        <f t="shared" si="5"/>
        <v>1</v>
      </c>
      <c r="G63" s="23">
        <f t="shared" si="6"/>
        <v>1</v>
      </c>
    </row>
    <row r="64" spans="1:7" x14ac:dyDescent="0.35">
      <c r="A64" s="25" t="s">
        <v>543</v>
      </c>
      <c r="B64" s="25" t="s">
        <v>2497</v>
      </c>
      <c r="C64" s="25" t="str">
        <f t="shared" si="2"/>
        <v>Thành phố Bến Tre - Bến Tre</v>
      </c>
      <c r="D64" s="25" t="s">
        <v>3142</v>
      </c>
      <c r="E64" s="25" t="s">
        <v>3140</v>
      </c>
      <c r="F64" s="23">
        <f t="shared" si="5"/>
        <v>1</v>
      </c>
      <c r="G64" s="23">
        <f t="shared" si="6"/>
        <v>1</v>
      </c>
    </row>
    <row r="65" spans="1:7" x14ac:dyDescent="0.35">
      <c r="A65" s="25" t="s">
        <v>545</v>
      </c>
      <c r="B65" s="25" t="s">
        <v>2642</v>
      </c>
      <c r="C65" s="25" t="str">
        <f t="shared" si="2"/>
        <v>Huyện An Lão - Bình Định</v>
      </c>
      <c r="D65" s="25" t="s">
        <v>3139</v>
      </c>
      <c r="E65" s="25" t="s">
        <v>3148</v>
      </c>
      <c r="F65" s="23">
        <f t="shared" si="5"/>
        <v>2</v>
      </c>
      <c r="G65" s="23">
        <f t="shared" si="6"/>
        <v>1</v>
      </c>
    </row>
    <row r="66" spans="1:7" x14ac:dyDescent="0.35">
      <c r="A66" s="25" t="s">
        <v>545</v>
      </c>
      <c r="B66" s="25" t="s">
        <v>2724</v>
      </c>
      <c r="C66" s="25" t="str">
        <f t="shared" si="2"/>
        <v>Huyện Hoài Ân - Bình Định</v>
      </c>
      <c r="D66" s="25" t="s">
        <v>3139</v>
      </c>
      <c r="E66" s="25" t="s">
        <v>3148</v>
      </c>
      <c r="F66" s="23">
        <f t="shared" si="5"/>
        <v>1</v>
      </c>
      <c r="G66" s="23">
        <f t="shared" si="6"/>
        <v>1</v>
      </c>
    </row>
    <row r="67" spans="1:7" x14ac:dyDescent="0.35">
      <c r="A67" s="25" t="s">
        <v>545</v>
      </c>
      <c r="B67" s="25" t="s">
        <v>2591</v>
      </c>
      <c r="C67" s="25" t="str">
        <f t="shared" si="2"/>
        <v>Huyện Hoài Nhơn - Bình Định</v>
      </c>
      <c r="D67" s="25" t="s">
        <v>3139</v>
      </c>
      <c r="E67" s="25" t="s">
        <v>3148</v>
      </c>
      <c r="F67" s="23">
        <f t="shared" si="5"/>
        <v>1</v>
      </c>
      <c r="G67" s="23">
        <f t="shared" si="6"/>
        <v>1</v>
      </c>
    </row>
    <row r="68" spans="1:7" x14ac:dyDescent="0.35">
      <c r="A68" s="25" t="s">
        <v>545</v>
      </c>
      <c r="B68" s="25" t="s">
        <v>2598</v>
      </c>
      <c r="C68" s="25" t="str">
        <f t="shared" si="2"/>
        <v>Huyện Phù Cát - Bình Định</v>
      </c>
      <c r="D68" s="25" t="s">
        <v>3139</v>
      </c>
      <c r="E68" s="25" t="s">
        <v>3148</v>
      </c>
      <c r="F68" s="23">
        <f t="shared" si="5"/>
        <v>1</v>
      </c>
      <c r="G68" s="23">
        <f t="shared" si="6"/>
        <v>1</v>
      </c>
    </row>
    <row r="69" spans="1:7" x14ac:dyDescent="0.35">
      <c r="A69" s="25" t="s">
        <v>545</v>
      </c>
      <c r="B69" s="25" t="s">
        <v>2700</v>
      </c>
      <c r="C69" s="25" t="str">
        <f t="shared" ref="C69:C133" si="7">B69&amp;" - "&amp;A69</f>
        <v>Huyện Phù Mỹ - Bình Định</v>
      </c>
      <c r="D69" s="25" t="s">
        <v>3139</v>
      </c>
      <c r="E69" s="25" t="s">
        <v>3148</v>
      </c>
      <c r="F69" s="23">
        <f t="shared" si="5"/>
        <v>1</v>
      </c>
      <c r="G69" s="23">
        <f t="shared" si="6"/>
        <v>1</v>
      </c>
    </row>
    <row r="70" spans="1:7" x14ac:dyDescent="0.35">
      <c r="A70" s="25" t="s">
        <v>545</v>
      </c>
      <c r="B70" s="25" t="s">
        <v>2706</v>
      </c>
      <c r="C70" s="25" t="str">
        <f t="shared" si="7"/>
        <v>Huyện Tây Sơn - Bình Định</v>
      </c>
      <c r="D70" s="25" t="s">
        <v>3139</v>
      </c>
      <c r="E70" s="25" t="s">
        <v>3148</v>
      </c>
      <c r="F70" s="23">
        <f t="shared" si="5"/>
        <v>1</v>
      </c>
      <c r="G70" s="23">
        <f t="shared" si="6"/>
        <v>1</v>
      </c>
    </row>
    <row r="71" spans="1:7" x14ac:dyDescent="0.35">
      <c r="A71" s="25" t="s">
        <v>545</v>
      </c>
      <c r="B71" s="25" t="s">
        <v>2546</v>
      </c>
      <c r="C71" s="25" t="str">
        <f t="shared" si="7"/>
        <v>Huyện Tuy Phước - Bình Định</v>
      </c>
      <c r="D71" s="25" t="s">
        <v>3141</v>
      </c>
      <c r="E71" s="25" t="s">
        <v>3148</v>
      </c>
      <c r="F71" s="23">
        <f t="shared" si="5"/>
        <v>1</v>
      </c>
      <c r="G71" s="23">
        <f t="shared" si="6"/>
        <v>1</v>
      </c>
    </row>
    <row r="72" spans="1:7" x14ac:dyDescent="0.35">
      <c r="A72" s="25" t="s">
        <v>545</v>
      </c>
      <c r="B72" s="25" t="s">
        <v>2707</v>
      </c>
      <c r="C72" s="25" t="str">
        <f t="shared" si="7"/>
        <v>Huyện Vân Canh - Bình Định</v>
      </c>
      <c r="D72" s="25" t="s">
        <v>3139</v>
      </c>
      <c r="E72" s="25" t="s">
        <v>3148</v>
      </c>
      <c r="F72" s="23">
        <f t="shared" si="5"/>
        <v>1</v>
      </c>
      <c r="G72" s="23">
        <f t="shared" si="6"/>
        <v>1</v>
      </c>
    </row>
    <row r="73" spans="1:7" x14ac:dyDescent="0.35">
      <c r="A73" s="25" t="s">
        <v>545</v>
      </c>
      <c r="B73" s="25" t="s">
        <v>2683</v>
      </c>
      <c r="C73" s="25" t="str">
        <f t="shared" si="7"/>
        <v>Huyện Vĩnh Thạnh - Bình Định</v>
      </c>
      <c r="D73" s="25" t="s">
        <v>3139</v>
      </c>
      <c r="E73" s="25" t="s">
        <v>3148</v>
      </c>
      <c r="F73" s="23">
        <f t="shared" si="5"/>
        <v>2</v>
      </c>
      <c r="G73" s="23">
        <f t="shared" si="6"/>
        <v>1</v>
      </c>
    </row>
    <row r="74" spans="1:7" x14ac:dyDescent="0.35">
      <c r="A74" s="25" t="s">
        <v>545</v>
      </c>
      <c r="B74" s="26" t="s">
        <v>2509</v>
      </c>
      <c r="C74" s="25" t="str">
        <f t="shared" si="7"/>
        <v>Thành phố Quy Nhơn - Bình Định</v>
      </c>
      <c r="D74" s="25" t="s">
        <v>3142</v>
      </c>
      <c r="E74" s="25" t="s">
        <v>3148</v>
      </c>
      <c r="F74" s="23">
        <f t="shared" si="5"/>
        <v>1</v>
      </c>
      <c r="G74" s="23">
        <f t="shared" si="6"/>
        <v>1</v>
      </c>
    </row>
    <row r="75" spans="1:7" x14ac:dyDescent="0.35">
      <c r="A75" s="25" t="s">
        <v>545</v>
      </c>
      <c r="B75" s="25" t="s">
        <v>2617</v>
      </c>
      <c r="C75" s="25" t="str">
        <f t="shared" si="7"/>
        <v>Thị xã An Nhơn - Bình Định</v>
      </c>
      <c r="D75" s="25" t="s">
        <v>3139</v>
      </c>
      <c r="E75" s="25" t="s">
        <v>3148</v>
      </c>
      <c r="F75" s="23">
        <f t="shared" si="5"/>
        <v>1</v>
      </c>
      <c r="G75" s="23">
        <f t="shared" si="6"/>
        <v>1</v>
      </c>
    </row>
    <row r="76" spans="1:7" x14ac:dyDescent="0.35">
      <c r="A76" s="25" t="s">
        <v>544</v>
      </c>
      <c r="B76" s="25" t="s">
        <v>2492</v>
      </c>
      <c r="C76" s="25" t="str">
        <f t="shared" si="7"/>
        <v>Huyện Bắc Tân Uyên - Bình Dương</v>
      </c>
      <c r="D76" s="25" t="s">
        <v>3141</v>
      </c>
      <c r="E76" s="25" t="s">
        <v>3140</v>
      </c>
      <c r="F76" s="23">
        <f t="shared" si="5"/>
        <v>1</v>
      </c>
      <c r="G76" s="23">
        <f t="shared" si="6"/>
        <v>1</v>
      </c>
    </row>
    <row r="77" spans="1:7" x14ac:dyDescent="0.35">
      <c r="A77" s="25" t="s">
        <v>544</v>
      </c>
      <c r="B77" s="25" t="s">
        <v>2491</v>
      </c>
      <c r="C77" s="25" t="str">
        <f t="shared" si="7"/>
        <v>Huyện Bàu Bàng - Bình Dương</v>
      </c>
      <c r="D77" s="25" t="s">
        <v>3139</v>
      </c>
      <c r="E77" s="25" t="s">
        <v>3140</v>
      </c>
      <c r="F77" s="23">
        <f t="shared" si="5"/>
        <v>1</v>
      </c>
      <c r="G77" s="23">
        <f t="shared" si="6"/>
        <v>1</v>
      </c>
    </row>
    <row r="78" spans="1:7" x14ac:dyDescent="0.35">
      <c r="A78" s="25" t="s">
        <v>544</v>
      </c>
      <c r="B78" s="25" t="s">
        <v>2488</v>
      </c>
      <c r="C78" s="25" t="str">
        <f t="shared" si="7"/>
        <v>Huyện Dầu Tiếng - Bình Dương</v>
      </c>
      <c r="D78" s="25" t="s">
        <v>3139</v>
      </c>
      <c r="E78" s="25" t="s">
        <v>3140</v>
      </c>
      <c r="F78" s="23">
        <f t="shared" si="5"/>
        <v>1</v>
      </c>
      <c r="G78" s="23">
        <f t="shared" si="6"/>
        <v>1</v>
      </c>
    </row>
    <row r="79" spans="1:7" x14ac:dyDescent="0.35">
      <c r="A79" s="25" t="s">
        <v>544</v>
      </c>
      <c r="B79" s="25" t="s">
        <v>2490</v>
      </c>
      <c r="C79" s="25" t="str">
        <f t="shared" si="7"/>
        <v>Huyện Phú Giáo - Bình Dương</v>
      </c>
      <c r="D79" s="25" t="s">
        <v>3139</v>
      </c>
      <c r="E79" s="25" t="s">
        <v>3140</v>
      </c>
      <c r="F79" s="23">
        <f t="shared" si="5"/>
        <v>1</v>
      </c>
      <c r="G79" s="23">
        <f t="shared" si="6"/>
        <v>1</v>
      </c>
    </row>
    <row r="80" spans="1:7" x14ac:dyDescent="0.35">
      <c r="A80" s="25" t="s">
        <v>544</v>
      </c>
      <c r="B80" s="25" t="s">
        <v>2484</v>
      </c>
      <c r="C80" s="25" t="str">
        <f t="shared" si="7"/>
        <v>Thành phố Thủ Dầu Một - Bình Dương</v>
      </c>
      <c r="D80" s="25" t="s">
        <v>3142</v>
      </c>
      <c r="E80" s="25" t="s">
        <v>3140</v>
      </c>
      <c r="F80" s="23">
        <f t="shared" si="5"/>
        <v>1</v>
      </c>
      <c r="G80" s="23">
        <f t="shared" si="6"/>
        <v>1</v>
      </c>
    </row>
    <row r="81" spans="1:7" x14ac:dyDescent="0.35">
      <c r="A81" s="25" t="s">
        <v>544</v>
      </c>
      <c r="B81" s="25" t="s">
        <v>2489</v>
      </c>
      <c r="C81" s="25" t="str">
        <f t="shared" si="7"/>
        <v>Thị xã Bến Cát - Bình Dương</v>
      </c>
      <c r="D81" s="25" t="s">
        <v>3141</v>
      </c>
      <c r="E81" s="25" t="s">
        <v>3140</v>
      </c>
      <c r="F81" s="23">
        <f t="shared" si="5"/>
        <v>1</v>
      </c>
      <c r="G81" s="23">
        <f t="shared" si="6"/>
        <v>1</v>
      </c>
    </row>
    <row r="82" spans="1:7" x14ac:dyDescent="0.35">
      <c r="A82" s="25" t="s">
        <v>544</v>
      </c>
      <c r="B82" s="25" t="s">
        <v>2485</v>
      </c>
      <c r="C82" s="25" t="str">
        <f t="shared" si="7"/>
        <v>Thị xã Dĩ An - Bình Dương</v>
      </c>
      <c r="D82" s="25" t="s">
        <v>3142</v>
      </c>
      <c r="E82" s="25" t="s">
        <v>3140</v>
      </c>
      <c r="F82" s="23">
        <f t="shared" si="5"/>
        <v>1</v>
      </c>
      <c r="G82" s="23">
        <f t="shared" si="6"/>
        <v>1</v>
      </c>
    </row>
    <row r="83" spans="1:7" x14ac:dyDescent="0.35">
      <c r="A83" s="25" t="s">
        <v>544</v>
      </c>
      <c r="B83" s="25" t="s">
        <v>2486</v>
      </c>
      <c r="C83" s="25" t="str">
        <f t="shared" si="7"/>
        <v>Thị xã Tân Uyên - Bình Dương</v>
      </c>
      <c r="D83" s="25" t="s">
        <v>3141</v>
      </c>
      <c r="E83" s="25" t="s">
        <v>3140</v>
      </c>
      <c r="F83" s="23">
        <f t="shared" si="5"/>
        <v>1</v>
      </c>
      <c r="G83" s="23">
        <f t="shared" si="6"/>
        <v>1</v>
      </c>
    </row>
    <row r="84" spans="1:7" x14ac:dyDescent="0.35">
      <c r="A84" s="25" t="s">
        <v>544</v>
      </c>
      <c r="B84" s="25" t="s">
        <v>2487</v>
      </c>
      <c r="C84" s="25" t="str">
        <f t="shared" si="7"/>
        <v>Thị xã Thuận An - Bình Dương</v>
      </c>
      <c r="D84" s="25" t="s">
        <v>3141</v>
      </c>
      <c r="E84" s="25" t="s">
        <v>3140</v>
      </c>
      <c r="F84" s="23">
        <f t="shared" si="5"/>
        <v>1</v>
      </c>
      <c r="G84" s="23">
        <f t="shared" si="6"/>
        <v>1</v>
      </c>
    </row>
    <row r="85" spans="1:7" x14ac:dyDescent="0.35">
      <c r="A85" s="25" t="s">
        <v>546</v>
      </c>
      <c r="B85" s="25" t="s">
        <v>2646</v>
      </c>
      <c r="C85" s="25" t="str">
        <f t="shared" si="7"/>
        <v>Huyện Bù Đăng - Bình Phước</v>
      </c>
      <c r="D85" s="25" t="s">
        <v>3139</v>
      </c>
      <c r="E85" s="25" t="s">
        <v>3140</v>
      </c>
      <c r="F85" s="23">
        <f t="shared" si="5"/>
        <v>1</v>
      </c>
      <c r="G85" s="23">
        <f t="shared" si="6"/>
        <v>1</v>
      </c>
    </row>
    <row r="86" spans="1:7" x14ac:dyDescent="0.35">
      <c r="A86" s="25" t="s">
        <v>546</v>
      </c>
      <c r="B86" s="25" t="s">
        <v>2688</v>
      </c>
      <c r="C86" s="25" t="str">
        <f t="shared" si="7"/>
        <v>Huyện Bù Đốp - Bình Phước</v>
      </c>
      <c r="D86" s="25" t="s">
        <v>3139</v>
      </c>
      <c r="E86" s="25" t="s">
        <v>3140</v>
      </c>
      <c r="F86" s="23">
        <f t="shared" ref="F86:F117" si="8">COUNTIF($B:$B,B86)</f>
        <v>1</v>
      </c>
      <c r="G86" s="23">
        <f t="shared" ref="G86:G117" si="9">COUNTIF($C:$C,C86)</f>
        <v>1</v>
      </c>
    </row>
    <row r="87" spans="1:7" x14ac:dyDescent="0.35">
      <c r="A87" s="25" t="s">
        <v>546</v>
      </c>
      <c r="B87" s="25" t="s">
        <v>2680</v>
      </c>
      <c r="C87" s="25" t="str">
        <f t="shared" si="7"/>
        <v>Huyện Bù Gia Mập - Bình Phước</v>
      </c>
      <c r="D87" s="25" t="s">
        <v>3139</v>
      </c>
      <c r="E87" s="25" t="s">
        <v>3140</v>
      </c>
      <c r="F87" s="23">
        <f t="shared" si="8"/>
        <v>1</v>
      </c>
      <c r="G87" s="23">
        <f t="shared" si="9"/>
        <v>1</v>
      </c>
    </row>
    <row r="88" spans="1:7" x14ac:dyDescent="0.35">
      <c r="A88" s="25" t="s">
        <v>546</v>
      </c>
      <c r="B88" s="25" t="s">
        <v>2575</v>
      </c>
      <c r="C88" s="25" t="str">
        <f t="shared" si="7"/>
        <v>Huyện Chơn Thành - Bình Phước</v>
      </c>
      <c r="D88" s="25" t="s">
        <v>3139</v>
      </c>
      <c r="E88" s="25" t="s">
        <v>3140</v>
      </c>
      <c r="F88" s="23">
        <f t="shared" si="8"/>
        <v>1</v>
      </c>
      <c r="G88" s="23">
        <f t="shared" si="9"/>
        <v>1</v>
      </c>
    </row>
    <row r="89" spans="1:7" x14ac:dyDescent="0.35">
      <c r="A89" s="25" t="s">
        <v>546</v>
      </c>
      <c r="B89" s="26" t="s">
        <v>2576</v>
      </c>
      <c r="C89" s="25" t="str">
        <f t="shared" ref="C89" si="10">B89&amp;" - "&amp;A89</f>
        <v>Huyện Đồng Phù - Bình Phước</v>
      </c>
      <c r="D89" s="25" t="s">
        <v>3141</v>
      </c>
      <c r="E89" s="25" t="s">
        <v>3140</v>
      </c>
      <c r="F89" s="23">
        <f t="shared" si="8"/>
        <v>1</v>
      </c>
      <c r="G89" s="23">
        <f t="shared" si="9"/>
        <v>1</v>
      </c>
    </row>
    <row r="90" spans="1:7" x14ac:dyDescent="0.35">
      <c r="A90" s="25" t="s">
        <v>546</v>
      </c>
      <c r="B90" s="26" t="s">
        <v>2527</v>
      </c>
      <c r="C90" s="25" t="str">
        <f t="shared" si="7"/>
        <v>Huyện Đồng Phú - Bình Phước</v>
      </c>
      <c r="D90" s="25" t="s">
        <v>3141</v>
      </c>
      <c r="E90" s="25" t="s">
        <v>3140</v>
      </c>
      <c r="F90" s="23">
        <f t="shared" si="8"/>
        <v>1</v>
      </c>
      <c r="G90" s="23">
        <f t="shared" si="9"/>
        <v>1</v>
      </c>
    </row>
    <row r="91" spans="1:7" x14ac:dyDescent="0.35">
      <c r="A91" s="25" t="s">
        <v>546</v>
      </c>
      <c r="B91" s="25" t="s">
        <v>2593</v>
      </c>
      <c r="C91" s="25" t="str">
        <f t="shared" si="7"/>
        <v>Huyện Hớn Quản - Bình Phước</v>
      </c>
      <c r="D91" s="25" t="s">
        <v>3139</v>
      </c>
      <c r="E91" s="25" t="s">
        <v>3140</v>
      </c>
      <c r="F91" s="23">
        <f t="shared" si="8"/>
        <v>1</v>
      </c>
      <c r="G91" s="23">
        <f t="shared" si="9"/>
        <v>1</v>
      </c>
    </row>
    <row r="92" spans="1:7" x14ac:dyDescent="0.35">
      <c r="A92" s="25" t="s">
        <v>546</v>
      </c>
      <c r="B92" s="25" t="s">
        <v>2656</v>
      </c>
      <c r="C92" s="25" t="str">
        <f t="shared" si="7"/>
        <v>Huyện Lộc Ninh - Bình Phước</v>
      </c>
      <c r="D92" s="25" t="s">
        <v>3139</v>
      </c>
      <c r="E92" s="25" t="s">
        <v>3140</v>
      </c>
      <c r="F92" s="23">
        <f t="shared" si="8"/>
        <v>1</v>
      </c>
      <c r="G92" s="23">
        <f t="shared" si="9"/>
        <v>1</v>
      </c>
    </row>
    <row r="93" spans="1:7" x14ac:dyDescent="0.35">
      <c r="A93" s="25" t="s">
        <v>546</v>
      </c>
      <c r="B93" s="25" t="s">
        <v>2715</v>
      </c>
      <c r="C93" s="25" t="str">
        <f t="shared" si="7"/>
        <v>Huyện Phú Riềng - Bình Phước</v>
      </c>
      <c r="D93" s="25" t="s">
        <v>3139</v>
      </c>
      <c r="E93" s="25" t="s">
        <v>3140</v>
      </c>
      <c r="F93" s="23">
        <f t="shared" si="8"/>
        <v>1</v>
      </c>
      <c r="G93" s="23">
        <f t="shared" si="9"/>
        <v>1</v>
      </c>
    </row>
    <row r="94" spans="1:7" x14ac:dyDescent="0.35">
      <c r="A94" s="25" t="s">
        <v>546</v>
      </c>
      <c r="B94" s="25" t="s">
        <v>3149</v>
      </c>
      <c r="C94" s="25" t="str">
        <f t="shared" si="7"/>
        <v>Thị xã Bình Long - Bình Phước</v>
      </c>
      <c r="D94" s="25" t="s">
        <v>3139</v>
      </c>
      <c r="E94" s="25" t="s">
        <v>3140</v>
      </c>
      <c r="F94" s="23">
        <f t="shared" si="8"/>
        <v>1</v>
      </c>
      <c r="G94" s="23">
        <f t="shared" si="9"/>
        <v>1</v>
      </c>
    </row>
    <row r="95" spans="1:7" x14ac:dyDescent="0.35">
      <c r="A95" s="25" t="s">
        <v>546</v>
      </c>
      <c r="B95" s="25" t="s">
        <v>2519</v>
      </c>
      <c r="C95" s="25" t="str">
        <f t="shared" si="7"/>
        <v>Thị xã Đồng Xoài - Bình Phước</v>
      </c>
      <c r="D95" s="25" t="s">
        <v>3142</v>
      </c>
      <c r="E95" s="25" t="s">
        <v>3140</v>
      </c>
      <c r="F95" s="23">
        <f t="shared" si="8"/>
        <v>1</v>
      </c>
      <c r="G95" s="23">
        <f t="shared" si="9"/>
        <v>1</v>
      </c>
    </row>
    <row r="96" spans="1:7" x14ac:dyDescent="0.35">
      <c r="A96" s="25" t="s">
        <v>546</v>
      </c>
      <c r="B96" s="25" t="s">
        <v>3150</v>
      </c>
      <c r="C96" s="25" t="str">
        <f t="shared" si="7"/>
        <v>Thị xã Phước Long - Bình Phước</v>
      </c>
      <c r="D96" s="25" t="s">
        <v>3139</v>
      </c>
      <c r="E96" s="25" t="s">
        <v>3140</v>
      </c>
      <c r="F96" s="23">
        <f t="shared" si="8"/>
        <v>1</v>
      </c>
      <c r="G96" s="23">
        <f t="shared" si="9"/>
        <v>1</v>
      </c>
    </row>
    <row r="97" spans="1:7" x14ac:dyDescent="0.35">
      <c r="A97" s="25" t="s">
        <v>547</v>
      </c>
      <c r="B97" s="25" t="s">
        <v>2570</v>
      </c>
      <c r="C97" s="25" t="str">
        <f t="shared" si="7"/>
        <v>Huyện Bắc Bình - Bình Thuận</v>
      </c>
      <c r="D97" s="25" t="s">
        <v>3139</v>
      </c>
      <c r="E97" s="25" t="s">
        <v>3140</v>
      </c>
      <c r="F97" s="23">
        <f t="shared" si="8"/>
        <v>1</v>
      </c>
      <c r="G97" s="23">
        <f t="shared" si="9"/>
        <v>1</v>
      </c>
    </row>
    <row r="98" spans="1:7" x14ac:dyDescent="0.35">
      <c r="A98" s="25" t="s">
        <v>547</v>
      </c>
      <c r="B98" s="25" t="s">
        <v>2621</v>
      </c>
      <c r="C98" s="25" t="str">
        <f t="shared" si="7"/>
        <v>Huyện Đức Linh - Bình Thuận</v>
      </c>
      <c r="D98" s="25" t="s">
        <v>3139</v>
      </c>
      <c r="E98" s="25" t="s">
        <v>3140</v>
      </c>
      <c r="F98" s="23">
        <f t="shared" si="8"/>
        <v>1</v>
      </c>
      <c r="G98" s="23">
        <f t="shared" si="9"/>
        <v>1</v>
      </c>
    </row>
    <row r="99" spans="1:7" x14ac:dyDescent="0.35">
      <c r="A99" s="25" t="s">
        <v>547</v>
      </c>
      <c r="B99" s="25" t="s">
        <v>2690</v>
      </c>
      <c r="C99" s="25" t="str">
        <f t="shared" si="7"/>
        <v>Huyện Hàm Tân - Bình Thuận</v>
      </c>
      <c r="D99" s="25" t="s">
        <v>3139</v>
      </c>
      <c r="E99" s="25" t="s">
        <v>3140</v>
      </c>
      <c r="F99" s="23">
        <f t="shared" si="8"/>
        <v>1</v>
      </c>
      <c r="G99" s="23">
        <f t="shared" si="9"/>
        <v>1</v>
      </c>
    </row>
    <row r="100" spans="1:7" x14ac:dyDescent="0.35">
      <c r="A100" s="25" t="s">
        <v>547</v>
      </c>
      <c r="B100" s="25" t="s">
        <v>2529</v>
      </c>
      <c r="C100" s="25" t="str">
        <f t="shared" si="7"/>
        <v>Huyện Hàm Thuận Bắc - Bình Thuận</v>
      </c>
      <c r="D100" s="25" t="s">
        <v>3139</v>
      </c>
      <c r="E100" s="25" t="s">
        <v>3140</v>
      </c>
      <c r="F100" s="23">
        <f t="shared" si="8"/>
        <v>1</v>
      </c>
      <c r="G100" s="23">
        <f t="shared" si="9"/>
        <v>1</v>
      </c>
    </row>
    <row r="101" spans="1:7" x14ac:dyDescent="0.35">
      <c r="A101" s="25" t="s">
        <v>547</v>
      </c>
      <c r="B101" s="25" t="s">
        <v>2590</v>
      </c>
      <c r="C101" s="25" t="str">
        <f t="shared" si="7"/>
        <v>Huyện Hàm Thuận Nam - Bình Thuận</v>
      </c>
      <c r="D101" s="25" t="s">
        <v>3139</v>
      </c>
      <c r="E101" s="25" t="s">
        <v>3140</v>
      </c>
      <c r="F101" s="23">
        <f t="shared" si="8"/>
        <v>1</v>
      </c>
      <c r="G101" s="23">
        <f t="shared" si="9"/>
        <v>1</v>
      </c>
    </row>
    <row r="102" spans="1:7" x14ac:dyDescent="0.35">
      <c r="A102" s="25" t="s">
        <v>547</v>
      </c>
      <c r="B102" s="26" t="s">
        <v>2723</v>
      </c>
      <c r="C102" s="25" t="str">
        <f t="shared" si="7"/>
        <v>Huyện đảo Phú Quý - Bình Thuận</v>
      </c>
      <c r="D102" s="25" t="s">
        <v>3139</v>
      </c>
      <c r="E102" s="25" t="s">
        <v>3140</v>
      </c>
      <c r="F102" s="23">
        <f t="shared" si="8"/>
        <v>1</v>
      </c>
      <c r="G102" s="23">
        <f t="shared" si="9"/>
        <v>1</v>
      </c>
    </row>
    <row r="103" spans="1:7" x14ac:dyDescent="0.35">
      <c r="A103" s="25" t="s">
        <v>547</v>
      </c>
      <c r="B103" s="25" t="s">
        <v>2665</v>
      </c>
      <c r="C103" s="25" t="str">
        <f t="shared" si="7"/>
        <v>Huyện Tánh Linh - Bình Thuận</v>
      </c>
      <c r="D103" s="25" t="s">
        <v>3139</v>
      </c>
      <c r="E103" s="25" t="s">
        <v>3140</v>
      </c>
      <c r="F103" s="23">
        <f t="shared" si="8"/>
        <v>1</v>
      </c>
      <c r="G103" s="23">
        <f t="shared" si="9"/>
        <v>1</v>
      </c>
    </row>
    <row r="104" spans="1:7" x14ac:dyDescent="0.35">
      <c r="A104" s="25" t="s">
        <v>547</v>
      </c>
      <c r="B104" s="25" t="s">
        <v>2606</v>
      </c>
      <c r="C104" s="25" t="str">
        <f t="shared" si="7"/>
        <v>Huyện Tuy Phong - Bình Thuận</v>
      </c>
      <c r="D104" s="25" t="s">
        <v>3139</v>
      </c>
      <c r="E104" s="25" t="s">
        <v>3140</v>
      </c>
      <c r="F104" s="23">
        <f t="shared" si="8"/>
        <v>1</v>
      </c>
      <c r="G104" s="23">
        <f t="shared" si="9"/>
        <v>1</v>
      </c>
    </row>
    <row r="105" spans="1:7" x14ac:dyDescent="0.35">
      <c r="A105" s="25" t="s">
        <v>547</v>
      </c>
      <c r="B105" s="25" t="s">
        <v>2507</v>
      </c>
      <c r="C105" s="25" t="str">
        <f t="shared" si="7"/>
        <v>Thành phố Phan Thiết - Bình Thuận</v>
      </c>
      <c r="D105" s="25" t="s">
        <v>3142</v>
      </c>
      <c r="E105" s="25" t="s">
        <v>3140</v>
      </c>
      <c r="F105" s="23">
        <f t="shared" si="8"/>
        <v>1</v>
      </c>
      <c r="G105" s="23">
        <f t="shared" si="9"/>
        <v>1</v>
      </c>
    </row>
    <row r="106" spans="1:7" x14ac:dyDescent="0.35">
      <c r="A106" s="25" t="s">
        <v>547</v>
      </c>
      <c r="B106" s="25" t="s">
        <v>3151</v>
      </c>
      <c r="C106" s="25" t="str">
        <f t="shared" si="7"/>
        <v>Thị xã La Gi - Bình Thuận</v>
      </c>
      <c r="D106" s="25" t="s">
        <v>3139</v>
      </c>
      <c r="E106" s="25" t="s">
        <v>3140</v>
      </c>
      <c r="F106" s="23">
        <f t="shared" si="8"/>
        <v>1</v>
      </c>
      <c r="G106" s="23">
        <f t="shared" si="9"/>
        <v>1</v>
      </c>
    </row>
    <row r="107" spans="1:7" x14ac:dyDescent="0.35">
      <c r="A107" s="25" t="s">
        <v>548</v>
      </c>
      <c r="B107" s="25" t="s">
        <v>2658</v>
      </c>
      <c r="C107" s="25" t="str">
        <f t="shared" si="7"/>
        <v>Huyện Cái Nước - Cà Mau</v>
      </c>
      <c r="D107" s="25" t="s">
        <v>3141</v>
      </c>
      <c r="E107" s="25" t="s">
        <v>3140</v>
      </c>
      <c r="F107" s="23">
        <f t="shared" si="8"/>
        <v>1</v>
      </c>
      <c r="G107" s="23">
        <f t="shared" si="9"/>
        <v>1</v>
      </c>
    </row>
    <row r="108" spans="1:7" x14ac:dyDescent="0.35">
      <c r="A108" s="25" t="s">
        <v>548</v>
      </c>
      <c r="B108" s="25" t="s">
        <v>2676</v>
      </c>
      <c r="C108" s="25" t="str">
        <f t="shared" si="7"/>
        <v>Huyện Đầm Dơi - Cà Mau</v>
      </c>
      <c r="D108" s="25" t="s">
        <v>3139</v>
      </c>
      <c r="E108" s="25" t="s">
        <v>3140</v>
      </c>
      <c r="F108" s="23">
        <f t="shared" si="8"/>
        <v>1</v>
      </c>
      <c r="G108" s="23">
        <f t="shared" si="9"/>
        <v>1</v>
      </c>
    </row>
    <row r="109" spans="1:7" x14ac:dyDescent="0.35">
      <c r="A109" s="25" t="s">
        <v>548</v>
      </c>
      <c r="B109" s="25" t="s">
        <v>2619</v>
      </c>
      <c r="C109" s="25" t="str">
        <f t="shared" si="7"/>
        <v>Huyện Năm Căn - Cà Mau</v>
      </c>
      <c r="D109" s="25" t="s">
        <v>3139</v>
      </c>
      <c r="E109" s="25" t="s">
        <v>3140</v>
      </c>
      <c r="F109" s="23">
        <f t="shared" si="8"/>
        <v>1</v>
      </c>
      <c r="G109" s="23">
        <f t="shared" si="9"/>
        <v>1</v>
      </c>
    </row>
    <row r="110" spans="1:7" x14ac:dyDescent="0.35">
      <c r="A110" s="25" t="s">
        <v>548</v>
      </c>
      <c r="B110" s="25" t="s">
        <v>2675</v>
      </c>
      <c r="C110" s="25" t="str">
        <f t="shared" si="7"/>
        <v>Huyện Ngọc Hiển - Cà Mau</v>
      </c>
      <c r="D110" s="25" t="s">
        <v>3139</v>
      </c>
      <c r="E110" s="25" t="s">
        <v>3140</v>
      </c>
      <c r="F110" s="23">
        <f t="shared" si="8"/>
        <v>1</v>
      </c>
      <c r="G110" s="23">
        <f t="shared" si="9"/>
        <v>1</v>
      </c>
    </row>
    <row r="111" spans="1:7" x14ac:dyDescent="0.35">
      <c r="A111" s="25" t="s">
        <v>548</v>
      </c>
      <c r="B111" s="25" t="s">
        <v>2567</v>
      </c>
      <c r="C111" s="25" t="str">
        <f t="shared" si="7"/>
        <v>Huyện Phú Tân - Cà Mau</v>
      </c>
      <c r="D111" s="25" t="s">
        <v>3139</v>
      </c>
      <c r="E111" s="25" t="s">
        <v>3140</v>
      </c>
      <c r="F111" s="23">
        <f t="shared" si="8"/>
        <v>2</v>
      </c>
      <c r="G111" s="23">
        <f t="shared" si="9"/>
        <v>1</v>
      </c>
    </row>
    <row r="112" spans="1:7" x14ac:dyDescent="0.35">
      <c r="A112" s="25" t="s">
        <v>548</v>
      </c>
      <c r="B112" s="25" t="s">
        <v>2625</v>
      </c>
      <c r="C112" s="25" t="str">
        <f t="shared" si="7"/>
        <v>Huyện Thới Bình - Cà Mau</v>
      </c>
      <c r="D112" s="25" t="s">
        <v>3141</v>
      </c>
      <c r="E112" s="25" t="s">
        <v>3140</v>
      </c>
      <c r="F112" s="23">
        <f t="shared" si="8"/>
        <v>1</v>
      </c>
      <c r="G112" s="23">
        <f t="shared" si="9"/>
        <v>1</v>
      </c>
    </row>
    <row r="113" spans="1:7" x14ac:dyDescent="0.35">
      <c r="A113" s="25" t="s">
        <v>548</v>
      </c>
      <c r="B113" s="25" t="s">
        <v>2660</v>
      </c>
      <c r="C113" s="25" t="str">
        <f t="shared" si="7"/>
        <v>Huyện Trần Văn Thời - Cà Mau</v>
      </c>
      <c r="D113" s="25" t="s">
        <v>3139</v>
      </c>
      <c r="E113" s="25" t="s">
        <v>3140</v>
      </c>
      <c r="F113" s="23">
        <f t="shared" si="8"/>
        <v>1</v>
      </c>
      <c r="G113" s="23">
        <f t="shared" si="9"/>
        <v>1</v>
      </c>
    </row>
    <row r="114" spans="1:7" x14ac:dyDescent="0.35">
      <c r="A114" s="25" t="s">
        <v>548</v>
      </c>
      <c r="B114" s="25" t="s">
        <v>2637</v>
      </c>
      <c r="C114" s="25" t="str">
        <f t="shared" si="7"/>
        <v>Huyện U Minh - Cà Mau</v>
      </c>
      <c r="D114" s="25" t="s">
        <v>3139</v>
      </c>
      <c r="E114" s="25" t="s">
        <v>3140</v>
      </c>
      <c r="F114" s="23">
        <f t="shared" si="8"/>
        <v>1</v>
      </c>
      <c r="G114" s="23">
        <f t="shared" si="9"/>
        <v>1</v>
      </c>
    </row>
    <row r="115" spans="1:7" x14ac:dyDescent="0.35">
      <c r="A115" s="25" t="s">
        <v>548</v>
      </c>
      <c r="B115" s="25" t="s">
        <v>2498</v>
      </c>
      <c r="C115" s="25" t="str">
        <f t="shared" si="7"/>
        <v>Thành phố Cà Mau - Cà Mau</v>
      </c>
      <c r="D115" s="25" t="s">
        <v>3142</v>
      </c>
      <c r="E115" s="25" t="s">
        <v>3140</v>
      </c>
      <c r="F115" s="23">
        <f t="shared" si="8"/>
        <v>1</v>
      </c>
      <c r="G115" s="23">
        <f t="shared" si="9"/>
        <v>1</v>
      </c>
    </row>
    <row r="116" spans="1:7" x14ac:dyDescent="0.35">
      <c r="A116" s="25" t="s">
        <v>549</v>
      </c>
      <c r="B116" s="25" t="s">
        <v>2682</v>
      </c>
      <c r="C116" s="25" t="str">
        <f t="shared" si="7"/>
        <v>Huyện Cờ Đỏ - Cần Thơ</v>
      </c>
      <c r="D116" s="25" t="s">
        <v>3139</v>
      </c>
      <c r="E116" s="25" t="s">
        <v>3140</v>
      </c>
      <c r="F116" s="23">
        <f t="shared" si="8"/>
        <v>1</v>
      </c>
      <c r="G116" s="23">
        <f t="shared" si="9"/>
        <v>1</v>
      </c>
    </row>
    <row r="117" spans="1:7" x14ac:dyDescent="0.35">
      <c r="A117" s="25" t="s">
        <v>549</v>
      </c>
      <c r="B117" s="25" t="s">
        <v>2557</v>
      </c>
      <c r="C117" s="25" t="str">
        <f t="shared" si="7"/>
        <v>Huyện Phong Điền - Cần Thơ</v>
      </c>
      <c r="D117" s="25" t="s">
        <v>3139</v>
      </c>
      <c r="E117" s="25" t="s">
        <v>3140</v>
      </c>
      <c r="F117" s="23">
        <f t="shared" si="8"/>
        <v>2</v>
      </c>
      <c r="G117" s="23">
        <f t="shared" si="9"/>
        <v>1</v>
      </c>
    </row>
    <row r="118" spans="1:7" x14ac:dyDescent="0.35">
      <c r="A118" s="25" t="s">
        <v>549</v>
      </c>
      <c r="B118" s="25" t="s">
        <v>2681</v>
      </c>
      <c r="C118" s="25" t="str">
        <f t="shared" si="7"/>
        <v>Huyện Thới Lai - Cần Thơ</v>
      </c>
      <c r="D118" s="25" t="s">
        <v>3139</v>
      </c>
      <c r="E118" s="25" t="s">
        <v>3140</v>
      </c>
      <c r="F118" s="23">
        <f t="shared" ref="F118:F149" si="11">COUNTIF($B:$B,B118)</f>
        <v>1</v>
      </c>
      <c r="G118" s="23">
        <f t="shared" ref="G118:G149" si="12">COUNTIF($C:$C,C118)</f>
        <v>1</v>
      </c>
    </row>
    <row r="119" spans="1:7" x14ac:dyDescent="0.35">
      <c r="A119" s="25" t="s">
        <v>549</v>
      </c>
      <c r="B119" s="25" t="s">
        <v>2683</v>
      </c>
      <c r="C119" s="25" t="str">
        <f t="shared" si="7"/>
        <v>Huyện Vĩnh Thạnh - Cần Thơ</v>
      </c>
      <c r="D119" s="25" t="s">
        <v>3139</v>
      </c>
      <c r="E119" s="25" t="s">
        <v>3140</v>
      </c>
      <c r="F119" s="23">
        <f t="shared" si="11"/>
        <v>2</v>
      </c>
      <c r="G119" s="23">
        <f t="shared" si="12"/>
        <v>1</v>
      </c>
    </row>
    <row r="120" spans="1:7" x14ac:dyDescent="0.35">
      <c r="A120" s="25" t="s">
        <v>549</v>
      </c>
      <c r="B120" s="26" t="s">
        <v>2493</v>
      </c>
      <c r="C120" s="25" t="str">
        <f t="shared" si="7"/>
        <v>Quận Bình Thủy - Cần Thơ</v>
      </c>
      <c r="D120" s="25" t="s">
        <v>3142</v>
      </c>
      <c r="E120" s="25" t="s">
        <v>3140</v>
      </c>
      <c r="F120" s="23">
        <f t="shared" si="11"/>
        <v>1</v>
      </c>
      <c r="G120" s="23">
        <f t="shared" si="12"/>
        <v>1</v>
      </c>
    </row>
    <row r="121" spans="1:7" x14ac:dyDescent="0.35">
      <c r="A121" s="25" t="s">
        <v>549</v>
      </c>
      <c r="B121" s="25" t="s">
        <v>2494</v>
      </c>
      <c r="C121" s="25" t="str">
        <f t="shared" si="7"/>
        <v>Quận Cái Răng - Cần Thơ</v>
      </c>
      <c r="D121" s="25" t="s">
        <v>3142</v>
      </c>
      <c r="E121" s="25" t="s">
        <v>3140</v>
      </c>
      <c r="F121" s="23">
        <f t="shared" si="11"/>
        <v>1</v>
      </c>
      <c r="G121" s="23">
        <f t="shared" si="12"/>
        <v>1</v>
      </c>
    </row>
    <row r="122" spans="1:7" x14ac:dyDescent="0.35">
      <c r="A122" s="25" t="s">
        <v>549</v>
      </c>
      <c r="B122" s="25" t="s">
        <v>2495</v>
      </c>
      <c r="C122" s="25" t="str">
        <f t="shared" si="7"/>
        <v>Quận Ninh Kiều - Cần Thơ</v>
      </c>
      <c r="D122" s="25" t="s">
        <v>3142</v>
      </c>
      <c r="E122" s="25" t="s">
        <v>3140</v>
      </c>
      <c r="F122" s="23">
        <f t="shared" si="11"/>
        <v>1</v>
      </c>
      <c r="G122" s="23">
        <f t="shared" si="12"/>
        <v>1</v>
      </c>
    </row>
    <row r="123" spans="1:7" x14ac:dyDescent="0.35">
      <c r="A123" s="25" t="s">
        <v>549</v>
      </c>
      <c r="B123" s="25" t="s">
        <v>2534</v>
      </c>
      <c r="C123" s="25" t="str">
        <f t="shared" si="7"/>
        <v>Quận Ô Môn - Cần Thơ</v>
      </c>
      <c r="D123" s="25" t="s">
        <v>3141</v>
      </c>
      <c r="E123" s="25" t="s">
        <v>3140</v>
      </c>
      <c r="F123" s="23">
        <f t="shared" si="11"/>
        <v>1</v>
      </c>
      <c r="G123" s="23">
        <f t="shared" si="12"/>
        <v>1</v>
      </c>
    </row>
    <row r="124" spans="1:7" x14ac:dyDescent="0.35">
      <c r="A124" s="25" t="s">
        <v>549</v>
      </c>
      <c r="B124" s="25" t="s">
        <v>2535</v>
      </c>
      <c r="C124" s="25" t="str">
        <f t="shared" si="7"/>
        <v>Quận Thốt Nốt - Cần Thơ</v>
      </c>
      <c r="D124" s="25" t="s">
        <v>3141</v>
      </c>
      <c r="E124" s="25" t="s">
        <v>3140</v>
      </c>
      <c r="F124" s="23">
        <f t="shared" si="11"/>
        <v>1</v>
      </c>
      <c r="G124" s="23">
        <f t="shared" si="12"/>
        <v>1</v>
      </c>
    </row>
    <row r="125" spans="1:7" x14ac:dyDescent="0.35">
      <c r="A125" s="25" t="s">
        <v>514</v>
      </c>
      <c r="B125" s="25" t="s">
        <v>3064</v>
      </c>
      <c r="C125" s="25" t="str">
        <f t="shared" si="7"/>
        <v>Huyện Bảo Lạc - Cao Bằng</v>
      </c>
      <c r="D125" s="25" t="s">
        <v>3139</v>
      </c>
      <c r="E125" s="25" t="s">
        <v>3145</v>
      </c>
      <c r="F125" s="23">
        <f t="shared" si="11"/>
        <v>1</v>
      </c>
      <c r="G125" s="23">
        <f t="shared" si="12"/>
        <v>1</v>
      </c>
    </row>
    <row r="126" spans="1:7" x14ac:dyDescent="0.35">
      <c r="A126" s="25" t="s">
        <v>514</v>
      </c>
      <c r="B126" s="25" t="s">
        <v>2571</v>
      </c>
      <c r="C126" s="25" t="str">
        <f t="shared" si="7"/>
        <v>Huyện Bảo Lâm - Cao Bằng</v>
      </c>
      <c r="D126" s="25" t="s">
        <v>3139</v>
      </c>
      <c r="E126" s="25" t="s">
        <v>3145</v>
      </c>
      <c r="F126" s="23">
        <f t="shared" si="11"/>
        <v>2</v>
      </c>
      <c r="G126" s="23">
        <f t="shared" si="12"/>
        <v>1</v>
      </c>
    </row>
    <row r="127" spans="1:7" x14ac:dyDescent="0.35">
      <c r="A127" s="25" t="s">
        <v>514</v>
      </c>
      <c r="B127" s="25" t="s">
        <v>3068</v>
      </c>
      <c r="C127" s="25" t="str">
        <f t="shared" si="7"/>
        <v>Huyện Hạ Lang - Cao Bằng</v>
      </c>
      <c r="D127" s="25" t="s">
        <v>3139</v>
      </c>
      <c r="E127" s="25" t="s">
        <v>3145</v>
      </c>
      <c r="F127" s="23">
        <f t="shared" si="11"/>
        <v>1</v>
      </c>
      <c r="G127" s="23">
        <f t="shared" si="12"/>
        <v>1</v>
      </c>
    </row>
    <row r="128" spans="1:7" x14ac:dyDescent="0.35">
      <c r="A128" s="25" t="s">
        <v>514</v>
      </c>
      <c r="B128" s="25" t="s">
        <v>3046</v>
      </c>
      <c r="C128" s="25" t="str">
        <f t="shared" si="7"/>
        <v>Huyện Hà Quảng - Cao Bằng</v>
      </c>
      <c r="D128" s="25" t="s">
        <v>3139</v>
      </c>
      <c r="E128" s="25" t="s">
        <v>3145</v>
      </c>
      <c r="F128" s="23">
        <f t="shared" si="11"/>
        <v>1</v>
      </c>
      <c r="G128" s="23">
        <f t="shared" si="12"/>
        <v>1</v>
      </c>
    </row>
    <row r="129" spans="1:7" x14ac:dyDescent="0.35">
      <c r="A129" s="25" t="s">
        <v>514</v>
      </c>
      <c r="B129" s="26" t="s">
        <v>2981</v>
      </c>
      <c r="C129" s="25" t="str">
        <f t="shared" si="7"/>
        <v>Huyện Hòa An - Cao Bằng</v>
      </c>
      <c r="D129" s="25" t="s">
        <v>3141</v>
      </c>
      <c r="E129" s="25" t="s">
        <v>3145</v>
      </c>
      <c r="F129" s="23">
        <f t="shared" si="11"/>
        <v>1</v>
      </c>
      <c r="G129" s="23">
        <f t="shared" si="12"/>
        <v>1</v>
      </c>
    </row>
    <row r="130" spans="1:7" x14ac:dyDescent="0.35">
      <c r="A130" s="25" t="s">
        <v>514</v>
      </c>
      <c r="B130" s="25" t="s">
        <v>3071</v>
      </c>
      <c r="C130" s="25" t="str">
        <f t="shared" si="7"/>
        <v>Huyện Nguyên Bình - Cao Bằng</v>
      </c>
      <c r="D130" s="25" t="s">
        <v>3139</v>
      </c>
      <c r="E130" s="25" t="s">
        <v>3145</v>
      </c>
      <c r="F130" s="23">
        <f t="shared" si="11"/>
        <v>1</v>
      </c>
      <c r="G130" s="23">
        <f t="shared" si="12"/>
        <v>1</v>
      </c>
    </row>
    <row r="131" spans="1:7" x14ac:dyDescent="0.35">
      <c r="A131" s="25" t="s">
        <v>514</v>
      </c>
      <c r="B131" s="26" t="s">
        <v>3023</v>
      </c>
      <c r="C131" s="25" t="str">
        <f t="shared" si="7"/>
        <v>Huyện Phục Hòa - Cao Bằng</v>
      </c>
      <c r="D131" s="25" t="s">
        <v>3139</v>
      </c>
      <c r="E131" s="25" t="s">
        <v>3145</v>
      </c>
      <c r="F131" s="23">
        <f t="shared" si="11"/>
        <v>1</v>
      </c>
      <c r="G131" s="23">
        <f t="shared" si="12"/>
        <v>1</v>
      </c>
    </row>
    <row r="132" spans="1:7" x14ac:dyDescent="0.35">
      <c r="A132" s="25" t="s">
        <v>514</v>
      </c>
      <c r="B132" s="25" t="s">
        <v>3070</v>
      </c>
      <c r="C132" s="25" t="str">
        <f t="shared" si="7"/>
        <v>Huyện Quảng Uyên - Cao Bằng</v>
      </c>
      <c r="D132" s="25" t="s">
        <v>3139</v>
      </c>
      <c r="E132" s="25" t="s">
        <v>3145</v>
      </c>
      <c r="F132" s="23">
        <f t="shared" si="11"/>
        <v>1</v>
      </c>
      <c r="G132" s="23">
        <f t="shared" si="12"/>
        <v>1</v>
      </c>
    </row>
    <row r="133" spans="1:7" x14ac:dyDescent="0.35">
      <c r="A133" s="25" t="s">
        <v>514</v>
      </c>
      <c r="B133" s="25" t="s">
        <v>3051</v>
      </c>
      <c r="C133" s="25" t="str">
        <f t="shared" si="7"/>
        <v>Huyện Thạch An - Cao Bằng</v>
      </c>
      <c r="D133" s="25" t="s">
        <v>3139</v>
      </c>
      <c r="E133" s="25" t="s">
        <v>3145</v>
      </c>
      <c r="F133" s="23">
        <f t="shared" si="11"/>
        <v>1</v>
      </c>
      <c r="G133" s="23">
        <f t="shared" si="12"/>
        <v>1</v>
      </c>
    </row>
    <row r="134" spans="1:7" x14ac:dyDescent="0.35">
      <c r="A134" s="25" t="s">
        <v>514</v>
      </c>
      <c r="B134" s="25" t="s">
        <v>3055</v>
      </c>
      <c r="C134" s="25" t="str">
        <f t="shared" ref="C134:C197" si="13">B134&amp;" - "&amp;A134</f>
        <v>Huyện Thông Nông - Cao Bằng</v>
      </c>
      <c r="D134" s="25" t="s">
        <v>3139</v>
      </c>
      <c r="E134" s="25" t="s">
        <v>3145</v>
      </c>
      <c r="F134" s="23">
        <f t="shared" si="11"/>
        <v>1</v>
      </c>
      <c r="G134" s="23">
        <f t="shared" si="12"/>
        <v>1</v>
      </c>
    </row>
    <row r="135" spans="1:7" x14ac:dyDescent="0.35">
      <c r="A135" s="25" t="s">
        <v>514</v>
      </c>
      <c r="B135" s="25" t="s">
        <v>3066</v>
      </c>
      <c r="C135" s="25" t="str">
        <f t="shared" si="13"/>
        <v>Huyện Trà Lĩnh - Cao Bằng</v>
      </c>
      <c r="D135" s="25" t="s">
        <v>3139</v>
      </c>
      <c r="E135" s="25" t="s">
        <v>3145</v>
      </c>
      <c r="F135" s="23">
        <f t="shared" si="11"/>
        <v>1</v>
      </c>
      <c r="G135" s="23">
        <f t="shared" si="12"/>
        <v>1</v>
      </c>
    </row>
    <row r="136" spans="1:7" x14ac:dyDescent="0.35">
      <c r="A136" s="25" t="s">
        <v>514</v>
      </c>
      <c r="B136" s="25" t="s">
        <v>2980</v>
      </c>
      <c r="C136" s="25" t="str">
        <f t="shared" si="13"/>
        <v>Huyện Trùng Khánh - Cao Bằng</v>
      </c>
      <c r="D136" s="25" t="s">
        <v>3139</v>
      </c>
      <c r="E136" s="25" t="s">
        <v>3145</v>
      </c>
      <c r="F136" s="23">
        <f t="shared" si="11"/>
        <v>1</v>
      </c>
      <c r="G136" s="23">
        <f t="shared" si="12"/>
        <v>1</v>
      </c>
    </row>
    <row r="137" spans="1:7" x14ac:dyDescent="0.35">
      <c r="A137" s="25" t="s">
        <v>514</v>
      </c>
      <c r="B137" s="25" t="s">
        <v>2814</v>
      </c>
      <c r="C137" s="25" t="str">
        <f t="shared" si="13"/>
        <v>Thành phố Cao Bằng - Cao Bằng</v>
      </c>
      <c r="D137" s="25" t="s">
        <v>3142</v>
      </c>
      <c r="E137" s="25" t="s">
        <v>3145</v>
      </c>
      <c r="F137" s="23">
        <f t="shared" si="11"/>
        <v>1</v>
      </c>
      <c r="G137" s="23">
        <f t="shared" si="12"/>
        <v>1</v>
      </c>
    </row>
    <row r="138" spans="1:7" x14ac:dyDescent="0.35">
      <c r="A138" s="25" t="s">
        <v>506</v>
      </c>
      <c r="B138" s="25" t="s">
        <v>2405</v>
      </c>
      <c r="C138" s="25" t="str">
        <f t="shared" si="13"/>
        <v>Huyện Hòa Vang - Đà Nẵng</v>
      </c>
      <c r="D138" s="25" t="s">
        <v>3139</v>
      </c>
      <c r="E138" s="25" t="s">
        <v>3152</v>
      </c>
      <c r="F138" s="23">
        <f t="shared" si="11"/>
        <v>1</v>
      </c>
      <c r="G138" s="23">
        <f t="shared" si="12"/>
        <v>1</v>
      </c>
    </row>
    <row r="139" spans="1:7" x14ac:dyDescent="0.35">
      <c r="A139" s="25" t="s">
        <v>506</v>
      </c>
      <c r="B139" s="25" t="s">
        <v>3153</v>
      </c>
      <c r="C139" s="25" t="str">
        <f t="shared" si="13"/>
        <v>Huyện Hoàng Sa - Đà Nẵng</v>
      </c>
      <c r="D139" s="25" t="s">
        <v>3139</v>
      </c>
      <c r="E139" s="25" t="s">
        <v>3152</v>
      </c>
      <c r="F139" s="23">
        <f t="shared" si="11"/>
        <v>1</v>
      </c>
      <c r="G139" s="23">
        <f t="shared" si="12"/>
        <v>1</v>
      </c>
    </row>
    <row r="140" spans="1:7" x14ac:dyDescent="0.35">
      <c r="A140" s="25" t="s">
        <v>506</v>
      </c>
      <c r="B140" s="25" t="s">
        <v>2399</v>
      </c>
      <c r="C140" s="25" t="str">
        <f t="shared" si="13"/>
        <v>Quận Cẩm Lệ - Đà Nẵng</v>
      </c>
      <c r="D140" s="25" t="s">
        <v>3142</v>
      </c>
      <c r="E140" s="25" t="s">
        <v>3152</v>
      </c>
      <c r="F140" s="23">
        <f t="shared" si="11"/>
        <v>1</v>
      </c>
      <c r="G140" s="23">
        <f t="shared" si="12"/>
        <v>1</v>
      </c>
    </row>
    <row r="141" spans="1:7" x14ac:dyDescent="0.35">
      <c r="A141" s="25" t="s">
        <v>506</v>
      </c>
      <c r="B141" s="25" t="s">
        <v>2400</v>
      </c>
      <c r="C141" s="25" t="str">
        <f t="shared" si="13"/>
        <v>Quận Hải Châu - Đà Nẵng</v>
      </c>
      <c r="D141" s="25" t="s">
        <v>3142</v>
      </c>
      <c r="E141" s="25" t="s">
        <v>3152</v>
      </c>
      <c r="F141" s="23">
        <f t="shared" si="11"/>
        <v>1</v>
      </c>
      <c r="G141" s="23">
        <f t="shared" si="12"/>
        <v>1</v>
      </c>
    </row>
    <row r="142" spans="1:7" x14ac:dyDescent="0.35">
      <c r="A142" s="25" t="s">
        <v>506</v>
      </c>
      <c r="B142" s="25" t="s">
        <v>2401</v>
      </c>
      <c r="C142" s="25" t="str">
        <f t="shared" si="13"/>
        <v>Quận Liên Chiểu - Đà Nẵng</v>
      </c>
      <c r="D142" s="25" t="s">
        <v>3142</v>
      </c>
      <c r="E142" s="25" t="s">
        <v>3152</v>
      </c>
      <c r="F142" s="23">
        <f t="shared" si="11"/>
        <v>1</v>
      </c>
      <c r="G142" s="23">
        <f t="shared" si="12"/>
        <v>1</v>
      </c>
    </row>
    <row r="143" spans="1:7" x14ac:dyDescent="0.35">
      <c r="A143" s="25" t="s">
        <v>506</v>
      </c>
      <c r="B143" s="25" t="s">
        <v>2402</v>
      </c>
      <c r="C143" s="25" t="str">
        <f t="shared" si="13"/>
        <v>Quận Ngũ Hành Sơn - Đà Nẵng</v>
      </c>
      <c r="D143" s="25" t="s">
        <v>3142</v>
      </c>
      <c r="E143" s="25" t="s">
        <v>3152</v>
      </c>
      <c r="F143" s="23">
        <f t="shared" si="11"/>
        <v>1</v>
      </c>
      <c r="G143" s="23">
        <f t="shared" si="12"/>
        <v>1</v>
      </c>
    </row>
    <row r="144" spans="1:7" x14ac:dyDescent="0.35">
      <c r="A144" s="25" t="s">
        <v>506</v>
      </c>
      <c r="B144" s="25" t="s">
        <v>2403</v>
      </c>
      <c r="C144" s="25" t="str">
        <f t="shared" si="13"/>
        <v>Quận Sơn Trà - Đà Nẵng</v>
      </c>
      <c r="D144" s="25" t="s">
        <v>3142</v>
      </c>
      <c r="E144" s="25" t="s">
        <v>3152</v>
      </c>
      <c r="F144" s="23">
        <f t="shared" si="11"/>
        <v>1</v>
      </c>
      <c r="G144" s="23">
        <f t="shared" si="12"/>
        <v>1</v>
      </c>
    </row>
    <row r="145" spans="1:7" x14ac:dyDescent="0.35">
      <c r="A145" s="25" t="s">
        <v>506</v>
      </c>
      <c r="B145" s="25" t="s">
        <v>2404</v>
      </c>
      <c r="C145" s="25" t="str">
        <f t="shared" si="13"/>
        <v>Quận Thanh Khê - Đà Nẵng</v>
      </c>
      <c r="D145" s="25" t="s">
        <v>3142</v>
      </c>
      <c r="E145" s="25" t="s">
        <v>3152</v>
      </c>
      <c r="F145" s="23">
        <f t="shared" si="11"/>
        <v>1</v>
      </c>
      <c r="G145" s="23">
        <f t="shared" si="12"/>
        <v>1</v>
      </c>
    </row>
    <row r="146" spans="1:7" x14ac:dyDescent="0.35">
      <c r="A146" s="25" t="s">
        <v>550</v>
      </c>
      <c r="B146" s="25" t="s">
        <v>3154</v>
      </c>
      <c r="C146" s="25" t="str">
        <f t="shared" si="13"/>
        <v>Huyện Buôn Đôn - Đắk Lắk</v>
      </c>
      <c r="D146" s="25" t="s">
        <v>3139</v>
      </c>
      <c r="E146" s="25" t="s">
        <v>3140</v>
      </c>
      <c r="F146" s="23">
        <f t="shared" si="11"/>
        <v>1</v>
      </c>
      <c r="G146" s="23">
        <f t="shared" si="12"/>
        <v>1</v>
      </c>
    </row>
    <row r="147" spans="1:7" x14ac:dyDescent="0.35">
      <c r="A147" s="25" t="s">
        <v>550</v>
      </c>
      <c r="B147" s="25" t="s">
        <v>2561</v>
      </c>
      <c r="C147" s="25" t="str">
        <f t="shared" si="13"/>
        <v>Huyện Cư Kuin - Đắk Lắk</v>
      </c>
      <c r="D147" s="25" t="s">
        <v>3139</v>
      </c>
      <c r="E147" s="25" t="s">
        <v>3140</v>
      </c>
      <c r="F147" s="23">
        <f t="shared" si="11"/>
        <v>1</v>
      </c>
      <c r="G147" s="23">
        <f t="shared" si="12"/>
        <v>1</v>
      </c>
    </row>
    <row r="148" spans="1:7" x14ac:dyDescent="0.35">
      <c r="A148" s="25" t="s">
        <v>550</v>
      </c>
      <c r="B148" s="26" t="s">
        <v>2538</v>
      </c>
      <c r="C148" s="25" t="str">
        <f t="shared" si="13"/>
        <v>Huyện Cư M gar - Đắk Lắk</v>
      </c>
      <c r="D148" s="25" t="s">
        <v>3141</v>
      </c>
      <c r="E148" s="25" t="s">
        <v>3140</v>
      </c>
      <c r="F148" s="23">
        <f t="shared" si="11"/>
        <v>1</v>
      </c>
      <c r="G148" s="23">
        <f t="shared" si="12"/>
        <v>1</v>
      </c>
    </row>
    <row r="149" spans="1:7" x14ac:dyDescent="0.35">
      <c r="A149" s="25" t="s">
        <v>550</v>
      </c>
      <c r="B149" s="26" t="s">
        <v>2645</v>
      </c>
      <c r="C149" s="25" t="str">
        <f t="shared" si="13"/>
        <v>Huyện Ea H leo - Đắk Lắk</v>
      </c>
      <c r="D149" s="25" t="s">
        <v>3139</v>
      </c>
      <c r="E149" s="25" t="s">
        <v>3140</v>
      </c>
      <c r="F149" s="23">
        <f t="shared" si="11"/>
        <v>1</v>
      </c>
      <c r="G149" s="23">
        <f t="shared" si="12"/>
        <v>1</v>
      </c>
    </row>
    <row r="150" spans="1:7" x14ac:dyDescent="0.35">
      <c r="A150" s="25" t="s">
        <v>550</v>
      </c>
      <c r="B150" s="25" t="s">
        <v>2632</v>
      </c>
      <c r="C150" s="25" t="str">
        <f t="shared" si="13"/>
        <v>Huyện Ea Kar - Đắk Lắk</v>
      </c>
      <c r="D150" s="25" t="s">
        <v>3139</v>
      </c>
      <c r="E150" s="25" t="s">
        <v>3140</v>
      </c>
      <c r="F150" s="23">
        <f t="shared" ref="F150:F181" si="14">COUNTIF($B:$B,B150)</f>
        <v>1</v>
      </c>
      <c r="G150" s="23">
        <f t="shared" ref="G150:G181" si="15">COUNTIF($C:$C,C150)</f>
        <v>1</v>
      </c>
    </row>
    <row r="151" spans="1:7" x14ac:dyDescent="0.35">
      <c r="A151" s="25" t="s">
        <v>550</v>
      </c>
      <c r="B151" s="25" t="s">
        <v>2613</v>
      </c>
      <c r="C151" s="25" t="str">
        <f t="shared" si="13"/>
        <v>Huyện Ea Súp - Đắk Lắk</v>
      </c>
      <c r="D151" s="25" t="s">
        <v>3139</v>
      </c>
      <c r="E151" s="25" t="s">
        <v>3140</v>
      </c>
      <c r="F151" s="23">
        <f t="shared" si="14"/>
        <v>1</v>
      </c>
      <c r="G151" s="23">
        <f t="shared" si="15"/>
        <v>1</v>
      </c>
    </row>
    <row r="152" spans="1:7" x14ac:dyDescent="0.35">
      <c r="A152" s="25" t="s">
        <v>550</v>
      </c>
      <c r="B152" s="26" t="s">
        <v>2594</v>
      </c>
      <c r="C152" s="25" t="str">
        <f t="shared" si="13"/>
        <v>Huyện Krông Ana - Đắk Lắk</v>
      </c>
      <c r="D152" s="25" t="s">
        <v>3139</v>
      </c>
      <c r="E152" s="25" t="s">
        <v>3140</v>
      </c>
      <c r="F152" s="23">
        <f t="shared" si="14"/>
        <v>1</v>
      </c>
      <c r="G152" s="23">
        <f t="shared" si="15"/>
        <v>1</v>
      </c>
    </row>
    <row r="153" spans="1:7" x14ac:dyDescent="0.35">
      <c r="A153" s="25" t="s">
        <v>550</v>
      </c>
      <c r="B153" s="25" t="s">
        <v>2595</v>
      </c>
      <c r="C153" s="25" t="str">
        <f t="shared" si="13"/>
        <v>Huyện Krông Bông - Đắk Lắk</v>
      </c>
      <c r="D153" s="25" t="s">
        <v>3139</v>
      </c>
      <c r="E153" s="25" t="s">
        <v>3140</v>
      </c>
      <c r="F153" s="23">
        <f t="shared" si="14"/>
        <v>1</v>
      </c>
      <c r="G153" s="23">
        <f t="shared" si="15"/>
        <v>1</v>
      </c>
    </row>
    <row r="154" spans="1:7" x14ac:dyDescent="0.35">
      <c r="A154" s="25" t="s">
        <v>550</v>
      </c>
      <c r="B154" s="25" t="s">
        <v>2719</v>
      </c>
      <c r="C154" s="25" t="str">
        <f t="shared" si="13"/>
        <v>Huyện Krông Búk - Đắk Lắk</v>
      </c>
      <c r="D154" s="25" t="s">
        <v>3139</v>
      </c>
      <c r="E154" s="25" t="s">
        <v>3140</v>
      </c>
      <c r="F154" s="23">
        <f t="shared" si="14"/>
        <v>1</v>
      </c>
      <c r="G154" s="23">
        <f t="shared" si="15"/>
        <v>1</v>
      </c>
    </row>
    <row r="155" spans="1:7" x14ac:dyDescent="0.35">
      <c r="A155" s="25" t="s">
        <v>550</v>
      </c>
      <c r="B155" s="25" t="s">
        <v>2596</v>
      </c>
      <c r="C155" s="25" t="str">
        <f t="shared" si="13"/>
        <v>Huyện Krông Năng - Đắk Lắk</v>
      </c>
      <c r="D155" s="25" t="s">
        <v>3139</v>
      </c>
      <c r="E155" s="25" t="s">
        <v>3140</v>
      </c>
      <c r="F155" s="23">
        <f t="shared" si="14"/>
        <v>1</v>
      </c>
      <c r="G155" s="23">
        <f t="shared" si="15"/>
        <v>1</v>
      </c>
    </row>
    <row r="156" spans="1:7" x14ac:dyDescent="0.35">
      <c r="A156" s="25" t="s">
        <v>550</v>
      </c>
      <c r="B156" s="25" t="s">
        <v>2635</v>
      </c>
      <c r="C156" s="25" t="str">
        <f t="shared" si="13"/>
        <v>Huyện Krông Pắc - Đắk Lắk</v>
      </c>
      <c r="D156" s="25" t="s">
        <v>3139</v>
      </c>
      <c r="E156" s="25" t="s">
        <v>3140</v>
      </c>
      <c r="F156" s="23">
        <f t="shared" si="14"/>
        <v>1</v>
      </c>
      <c r="G156" s="23">
        <f t="shared" si="15"/>
        <v>1</v>
      </c>
    </row>
    <row r="157" spans="1:7" x14ac:dyDescent="0.35">
      <c r="A157" s="25" t="s">
        <v>550</v>
      </c>
      <c r="B157" s="25" t="s">
        <v>2686</v>
      </c>
      <c r="C157" s="25" t="str">
        <f t="shared" si="13"/>
        <v>Huyện Lắk - Đắk Lắk</v>
      </c>
      <c r="D157" s="25" t="s">
        <v>3139</v>
      </c>
      <c r="E157" s="25" t="s">
        <v>3140</v>
      </c>
      <c r="F157" s="23">
        <f t="shared" si="14"/>
        <v>1</v>
      </c>
      <c r="G157" s="23">
        <f t="shared" si="15"/>
        <v>1</v>
      </c>
    </row>
    <row r="158" spans="1:7" x14ac:dyDescent="0.35">
      <c r="A158" s="25" t="s">
        <v>550</v>
      </c>
      <c r="B158" s="26" t="s">
        <v>2664</v>
      </c>
      <c r="C158" s="25" t="str">
        <f t="shared" si="13"/>
        <v>Huyện M Đrắk - Đắk Lắk</v>
      </c>
      <c r="D158" s="25" t="s">
        <v>3139</v>
      </c>
      <c r="E158" s="25" t="s">
        <v>3140</v>
      </c>
      <c r="F158" s="23">
        <f t="shared" si="14"/>
        <v>1</v>
      </c>
      <c r="G158" s="23">
        <f t="shared" si="15"/>
        <v>1</v>
      </c>
    </row>
    <row r="159" spans="1:7" x14ac:dyDescent="0.35">
      <c r="A159" s="25" t="s">
        <v>550</v>
      </c>
      <c r="B159" s="25" t="s">
        <v>2521</v>
      </c>
      <c r="C159" s="25" t="str">
        <f t="shared" si="13"/>
        <v>Thành phố Buôn Ma Thuột - Đắk Lắk</v>
      </c>
      <c r="D159" s="25" t="s">
        <v>3142</v>
      </c>
      <c r="E159" s="25" t="s">
        <v>3140</v>
      </c>
      <c r="F159" s="23">
        <f t="shared" si="14"/>
        <v>1</v>
      </c>
      <c r="G159" s="23">
        <f t="shared" si="15"/>
        <v>1</v>
      </c>
    </row>
    <row r="160" spans="1:7" x14ac:dyDescent="0.35">
      <c r="A160" s="25" t="s">
        <v>550</v>
      </c>
      <c r="B160" s="25" t="s">
        <v>3155</v>
      </c>
      <c r="C160" s="25" t="str">
        <f t="shared" si="13"/>
        <v>Thị Xã Buôn Hồ - Đắk Lắk</v>
      </c>
      <c r="D160" s="25" t="s">
        <v>3139</v>
      </c>
      <c r="E160" s="25" t="s">
        <v>3140</v>
      </c>
      <c r="F160" s="23">
        <f t="shared" si="14"/>
        <v>1</v>
      </c>
      <c r="G160" s="23">
        <f t="shared" si="15"/>
        <v>1</v>
      </c>
    </row>
    <row r="161" spans="1:7" x14ac:dyDescent="0.35">
      <c r="A161" s="25" t="s">
        <v>551</v>
      </c>
      <c r="B161" s="25" t="s">
        <v>2698</v>
      </c>
      <c r="C161" s="25" t="str">
        <f t="shared" si="13"/>
        <v>Huyện Cư Jút - Đắk Nông</v>
      </c>
      <c r="D161" s="25" t="s">
        <v>3139</v>
      </c>
      <c r="E161" s="25" t="s">
        <v>3140</v>
      </c>
      <c r="F161" s="23">
        <f t="shared" si="14"/>
        <v>1</v>
      </c>
      <c r="G161" s="23">
        <f t="shared" si="15"/>
        <v>1</v>
      </c>
    </row>
    <row r="162" spans="1:7" x14ac:dyDescent="0.35">
      <c r="A162" s="25" t="s">
        <v>551</v>
      </c>
      <c r="B162" s="26" t="s">
        <v>2579</v>
      </c>
      <c r="C162" s="25" t="str">
        <f t="shared" si="13"/>
        <v>Huyện Đắk Glong - Đắk Nông</v>
      </c>
      <c r="D162" s="25" t="s">
        <v>3139</v>
      </c>
      <c r="E162" s="25" t="s">
        <v>3140</v>
      </c>
      <c r="F162" s="23">
        <f t="shared" si="14"/>
        <v>1</v>
      </c>
      <c r="G162" s="23">
        <f t="shared" si="15"/>
        <v>1</v>
      </c>
    </row>
    <row r="163" spans="1:7" x14ac:dyDescent="0.35">
      <c r="A163" s="25" t="s">
        <v>551</v>
      </c>
      <c r="B163" s="25" t="s">
        <v>2583</v>
      </c>
      <c r="C163" s="25" t="str">
        <f t="shared" si="13"/>
        <v>Huyện Đắk Mil - Đắk Nông</v>
      </c>
      <c r="D163" s="25" t="s">
        <v>3139</v>
      </c>
      <c r="E163" s="25" t="s">
        <v>3140</v>
      </c>
      <c r="F163" s="23">
        <f t="shared" si="14"/>
        <v>1</v>
      </c>
      <c r="G163" s="23">
        <f t="shared" si="15"/>
        <v>1</v>
      </c>
    </row>
    <row r="164" spans="1:7" x14ac:dyDescent="0.35">
      <c r="A164" s="25" t="s">
        <v>551</v>
      </c>
      <c r="B164" s="26" t="s">
        <v>3177</v>
      </c>
      <c r="C164" s="25" t="str">
        <f t="shared" si="13"/>
        <v>Huyện Đắk R Lấp - Đắk Nông</v>
      </c>
      <c r="D164" s="25" t="s">
        <v>3141</v>
      </c>
      <c r="E164" s="25" t="s">
        <v>3140</v>
      </c>
      <c r="F164" s="23">
        <f t="shared" si="14"/>
        <v>1</v>
      </c>
      <c r="G164" s="23">
        <f t="shared" si="15"/>
        <v>1</v>
      </c>
    </row>
    <row r="165" spans="1:7" x14ac:dyDescent="0.35">
      <c r="A165" s="25" t="s">
        <v>551</v>
      </c>
      <c r="B165" s="25" t="s">
        <v>2730</v>
      </c>
      <c r="C165" s="25" t="str">
        <f t="shared" si="13"/>
        <v>Huyện Đắk Song - Đắk Nông</v>
      </c>
      <c r="D165" s="25" t="s">
        <v>3139</v>
      </c>
      <c r="E165" s="25" t="s">
        <v>3140</v>
      </c>
      <c r="F165" s="23">
        <f t="shared" si="14"/>
        <v>1</v>
      </c>
      <c r="G165" s="23">
        <f t="shared" si="15"/>
        <v>1</v>
      </c>
    </row>
    <row r="166" spans="1:7" x14ac:dyDescent="0.35">
      <c r="A166" s="25" t="s">
        <v>551</v>
      </c>
      <c r="B166" s="25" t="s">
        <v>2712</v>
      </c>
      <c r="C166" s="25" t="str">
        <f t="shared" si="13"/>
        <v>Huyện Krông Nô - Đắk Nông</v>
      </c>
      <c r="D166" s="25" t="s">
        <v>3139</v>
      </c>
      <c r="E166" s="25" t="s">
        <v>3140</v>
      </c>
      <c r="F166" s="23">
        <f t="shared" si="14"/>
        <v>1</v>
      </c>
      <c r="G166" s="23">
        <f t="shared" si="15"/>
        <v>1</v>
      </c>
    </row>
    <row r="167" spans="1:7" x14ac:dyDescent="0.35">
      <c r="A167" s="25" t="s">
        <v>551</v>
      </c>
      <c r="B167" s="25" t="s">
        <v>2708</v>
      </c>
      <c r="C167" s="25" t="str">
        <f t="shared" si="13"/>
        <v>Huyện Tuy Đức - Đắk Nông</v>
      </c>
      <c r="D167" s="25" t="s">
        <v>3139</v>
      </c>
      <c r="E167" s="25" t="s">
        <v>3140</v>
      </c>
      <c r="F167" s="23">
        <f t="shared" si="14"/>
        <v>1</v>
      </c>
      <c r="G167" s="23">
        <f t="shared" si="15"/>
        <v>1</v>
      </c>
    </row>
    <row r="168" spans="1:7" x14ac:dyDescent="0.35">
      <c r="A168" s="25" t="s">
        <v>551</v>
      </c>
      <c r="B168" s="25" t="s">
        <v>2520</v>
      </c>
      <c r="C168" s="25" t="str">
        <f t="shared" si="13"/>
        <v>Thị xã Gia Nghĩa - Đắk Nông</v>
      </c>
      <c r="D168" s="25" t="s">
        <v>3142</v>
      </c>
      <c r="E168" s="25" t="s">
        <v>3140</v>
      </c>
      <c r="F168" s="23">
        <f t="shared" si="14"/>
        <v>1</v>
      </c>
      <c r="G168" s="23">
        <f t="shared" si="15"/>
        <v>1</v>
      </c>
    </row>
    <row r="169" spans="1:7" x14ac:dyDescent="0.35">
      <c r="A169" s="25" t="s">
        <v>513</v>
      </c>
      <c r="B169" s="25" t="s">
        <v>2959</v>
      </c>
      <c r="C169" s="25" t="str">
        <f t="shared" si="13"/>
        <v>Huyện Điện Biên - Điện Biên</v>
      </c>
      <c r="D169" s="25" t="s">
        <v>3139</v>
      </c>
      <c r="E169" s="25" t="s">
        <v>3145</v>
      </c>
      <c r="F169" s="23">
        <f t="shared" si="14"/>
        <v>1</v>
      </c>
      <c r="G169" s="23">
        <f t="shared" si="15"/>
        <v>1</v>
      </c>
    </row>
    <row r="170" spans="1:7" x14ac:dyDescent="0.35">
      <c r="A170" s="25" t="s">
        <v>513</v>
      </c>
      <c r="B170" s="25" t="s">
        <v>3088</v>
      </c>
      <c r="C170" s="25" t="str">
        <f t="shared" si="13"/>
        <v>Huyện Điện Biên Đông - Điện Biên</v>
      </c>
      <c r="D170" s="25" t="s">
        <v>3139</v>
      </c>
      <c r="E170" s="25" t="s">
        <v>3145</v>
      </c>
      <c r="F170" s="23">
        <f t="shared" si="14"/>
        <v>1</v>
      </c>
      <c r="G170" s="23">
        <f t="shared" si="15"/>
        <v>1</v>
      </c>
    </row>
    <row r="171" spans="1:7" x14ac:dyDescent="0.35">
      <c r="A171" s="25" t="s">
        <v>513</v>
      </c>
      <c r="B171" s="25" t="s">
        <v>3087</v>
      </c>
      <c r="C171" s="25" t="str">
        <f t="shared" si="13"/>
        <v>Huyện Mường Ảng - Điện Biên</v>
      </c>
      <c r="D171" s="25" t="s">
        <v>3139</v>
      </c>
      <c r="E171" s="25" t="s">
        <v>3145</v>
      </c>
      <c r="F171" s="23">
        <f t="shared" si="14"/>
        <v>1</v>
      </c>
      <c r="G171" s="23">
        <f t="shared" si="15"/>
        <v>1</v>
      </c>
    </row>
    <row r="172" spans="1:7" x14ac:dyDescent="0.35">
      <c r="A172" s="25" t="s">
        <v>513</v>
      </c>
      <c r="B172" s="25" t="s">
        <v>3001</v>
      </c>
      <c r="C172" s="25" t="str">
        <f t="shared" si="13"/>
        <v>Huyện Mường Chà - Điện Biên</v>
      </c>
      <c r="D172" s="25" t="s">
        <v>3139</v>
      </c>
      <c r="E172" s="25" t="s">
        <v>3145</v>
      </c>
      <c r="F172" s="23">
        <f t="shared" si="14"/>
        <v>1</v>
      </c>
      <c r="G172" s="23">
        <f t="shared" si="15"/>
        <v>1</v>
      </c>
    </row>
    <row r="173" spans="1:7" x14ac:dyDescent="0.35">
      <c r="A173" s="25" t="s">
        <v>513</v>
      </c>
      <c r="B173" s="25" t="s">
        <v>3024</v>
      </c>
      <c r="C173" s="25" t="str">
        <f t="shared" si="13"/>
        <v>Huyện Mường Nhé - Điện Biên</v>
      </c>
      <c r="D173" s="25" t="s">
        <v>3139</v>
      </c>
      <c r="E173" s="25" t="s">
        <v>3145</v>
      </c>
      <c r="F173" s="23">
        <f t="shared" si="14"/>
        <v>1</v>
      </c>
      <c r="G173" s="23">
        <f t="shared" si="15"/>
        <v>1</v>
      </c>
    </row>
    <row r="174" spans="1:7" x14ac:dyDescent="0.35">
      <c r="A174" s="25" t="s">
        <v>513</v>
      </c>
      <c r="B174" s="25" t="s">
        <v>3093</v>
      </c>
      <c r="C174" s="25" t="str">
        <f t="shared" si="13"/>
        <v>Huyện Nậm Pồ - Điện Biên</v>
      </c>
      <c r="D174" s="25" t="s">
        <v>3139</v>
      </c>
      <c r="E174" s="25" t="s">
        <v>3145</v>
      </c>
      <c r="F174" s="23">
        <f t="shared" si="14"/>
        <v>1</v>
      </c>
      <c r="G174" s="23">
        <f t="shared" si="15"/>
        <v>1</v>
      </c>
    </row>
    <row r="175" spans="1:7" x14ac:dyDescent="0.35">
      <c r="A175" s="25" t="s">
        <v>513</v>
      </c>
      <c r="B175" s="25" t="s">
        <v>3007</v>
      </c>
      <c r="C175" s="25" t="str">
        <f t="shared" si="13"/>
        <v>Huyện Tủa Chùa - Điện Biên</v>
      </c>
      <c r="D175" s="25" t="s">
        <v>3139</v>
      </c>
      <c r="E175" s="25" t="s">
        <v>3145</v>
      </c>
      <c r="F175" s="23">
        <f t="shared" si="14"/>
        <v>1</v>
      </c>
      <c r="G175" s="23">
        <f t="shared" si="15"/>
        <v>1</v>
      </c>
    </row>
    <row r="176" spans="1:7" x14ac:dyDescent="0.35">
      <c r="A176" s="25" t="s">
        <v>513</v>
      </c>
      <c r="B176" s="25" t="s">
        <v>2966</v>
      </c>
      <c r="C176" s="25" t="str">
        <f t="shared" si="13"/>
        <v>Huyện Tuần Giáo - Điện Biên</v>
      </c>
      <c r="D176" s="25" t="s">
        <v>3139</v>
      </c>
      <c r="E176" s="25" t="s">
        <v>3145</v>
      </c>
      <c r="F176" s="23">
        <f t="shared" si="14"/>
        <v>1</v>
      </c>
      <c r="G176" s="23">
        <f t="shared" si="15"/>
        <v>1</v>
      </c>
    </row>
    <row r="177" spans="1:7" x14ac:dyDescent="0.35">
      <c r="A177" s="25" t="s">
        <v>513</v>
      </c>
      <c r="B177" s="25" t="s">
        <v>2815</v>
      </c>
      <c r="C177" s="25" t="str">
        <f t="shared" si="13"/>
        <v>Thành phố Điện Biên Phủ - Điện Biên</v>
      </c>
      <c r="D177" s="25" t="s">
        <v>3142</v>
      </c>
      <c r="E177" s="25" t="s">
        <v>3145</v>
      </c>
      <c r="F177" s="23">
        <f t="shared" si="14"/>
        <v>1</v>
      </c>
      <c r="G177" s="23">
        <f t="shared" si="15"/>
        <v>1</v>
      </c>
    </row>
    <row r="178" spans="1:7" x14ac:dyDescent="0.35">
      <c r="A178" s="25" t="s">
        <v>513</v>
      </c>
      <c r="B178" s="25" t="s">
        <v>3156</v>
      </c>
      <c r="C178" s="25" t="str">
        <f t="shared" si="13"/>
        <v>Thị Xã Mường Lay - Điện Biên</v>
      </c>
      <c r="D178" s="25" t="s">
        <v>3139</v>
      </c>
      <c r="E178" s="25" t="s">
        <v>3145</v>
      </c>
      <c r="F178" s="23">
        <f t="shared" si="14"/>
        <v>1</v>
      </c>
      <c r="G178" s="23">
        <f t="shared" si="15"/>
        <v>1</v>
      </c>
    </row>
    <row r="179" spans="1:7" x14ac:dyDescent="0.35">
      <c r="A179" s="25" t="s">
        <v>552</v>
      </c>
      <c r="B179" s="25" t="s">
        <v>2464</v>
      </c>
      <c r="C179" s="25" t="str">
        <f t="shared" si="13"/>
        <v>Huyện Cẩm Mỹ - Đồng Nai</v>
      </c>
      <c r="D179" s="25" t="s">
        <v>3139</v>
      </c>
      <c r="E179" s="25" t="s">
        <v>3140</v>
      </c>
      <c r="F179" s="23">
        <f t="shared" si="14"/>
        <v>1</v>
      </c>
      <c r="G179" s="23">
        <f t="shared" si="15"/>
        <v>1</v>
      </c>
    </row>
    <row r="180" spans="1:7" x14ac:dyDescent="0.35">
      <c r="A180" s="25" t="s">
        <v>552</v>
      </c>
      <c r="B180" s="25" t="s">
        <v>2465</v>
      </c>
      <c r="C180" s="25" t="str">
        <f t="shared" si="13"/>
        <v>Huyện Định Quán - Đồng Nai</v>
      </c>
      <c r="D180" s="25" t="s">
        <v>3139</v>
      </c>
      <c r="E180" s="25" t="s">
        <v>3140</v>
      </c>
      <c r="F180" s="23">
        <f t="shared" si="14"/>
        <v>1</v>
      </c>
      <c r="G180" s="23">
        <f t="shared" si="15"/>
        <v>1</v>
      </c>
    </row>
    <row r="181" spans="1:7" x14ac:dyDescent="0.35">
      <c r="A181" s="25" t="s">
        <v>552</v>
      </c>
      <c r="B181" s="25" t="s">
        <v>2466</v>
      </c>
      <c r="C181" s="25" t="str">
        <f t="shared" si="13"/>
        <v>Huyện Long Thành - Đồng Nai</v>
      </c>
      <c r="D181" s="25" t="s">
        <v>3139</v>
      </c>
      <c r="E181" s="25" t="s">
        <v>3140</v>
      </c>
      <c r="F181" s="23">
        <f t="shared" si="14"/>
        <v>1</v>
      </c>
      <c r="G181" s="23">
        <f t="shared" si="15"/>
        <v>1</v>
      </c>
    </row>
    <row r="182" spans="1:7" x14ac:dyDescent="0.35">
      <c r="A182" s="25" t="s">
        <v>552</v>
      </c>
      <c r="B182" s="25" t="s">
        <v>2467</v>
      </c>
      <c r="C182" s="25" t="str">
        <f t="shared" si="13"/>
        <v>Huyện Nhơn Trạch - Đồng Nai</v>
      </c>
      <c r="D182" s="25" t="s">
        <v>3139</v>
      </c>
      <c r="E182" s="25" t="s">
        <v>3140</v>
      </c>
      <c r="F182" s="23">
        <f t="shared" ref="F182:F200" si="16">COUNTIF($B:$B,B182)</f>
        <v>1</v>
      </c>
      <c r="G182" s="23">
        <f t="shared" ref="G182:G200" si="17">COUNTIF($C:$C,C182)</f>
        <v>1</v>
      </c>
    </row>
    <row r="183" spans="1:7" x14ac:dyDescent="0.35">
      <c r="A183" s="25" t="s">
        <v>552</v>
      </c>
      <c r="B183" s="25" t="s">
        <v>2468</v>
      </c>
      <c r="C183" s="25" t="str">
        <f t="shared" si="13"/>
        <v>Huyện Tân Phú - Đồng Nai</v>
      </c>
      <c r="D183" s="25" t="s">
        <v>3139</v>
      </c>
      <c r="E183" s="25" t="s">
        <v>3140</v>
      </c>
      <c r="F183" s="23">
        <f t="shared" si="16"/>
        <v>1</v>
      </c>
      <c r="G183" s="23">
        <f t="shared" si="17"/>
        <v>1</v>
      </c>
    </row>
    <row r="184" spans="1:7" x14ac:dyDescent="0.35">
      <c r="A184" s="25" t="s">
        <v>552</v>
      </c>
      <c r="B184" s="25" t="s">
        <v>2469</v>
      </c>
      <c r="C184" s="25" t="str">
        <f t="shared" si="13"/>
        <v>Huyện Thống Nhất - Đồng Nai</v>
      </c>
      <c r="D184" s="25" t="s">
        <v>3139</v>
      </c>
      <c r="E184" s="25" t="s">
        <v>3140</v>
      </c>
      <c r="F184" s="23">
        <f t="shared" si="16"/>
        <v>1</v>
      </c>
      <c r="G184" s="23">
        <f t="shared" si="17"/>
        <v>1</v>
      </c>
    </row>
    <row r="185" spans="1:7" x14ac:dyDescent="0.35">
      <c r="A185" s="25" t="s">
        <v>552</v>
      </c>
      <c r="B185" s="25" t="s">
        <v>2470</v>
      </c>
      <c r="C185" s="25" t="str">
        <f t="shared" si="13"/>
        <v>Huyện Trảng Bom - Đồng Nai</v>
      </c>
      <c r="D185" s="25" t="s">
        <v>3139</v>
      </c>
      <c r="E185" s="25" t="s">
        <v>3140</v>
      </c>
      <c r="F185" s="23">
        <f t="shared" si="16"/>
        <v>1</v>
      </c>
      <c r="G185" s="23">
        <f t="shared" si="17"/>
        <v>1</v>
      </c>
    </row>
    <row r="186" spans="1:7" x14ac:dyDescent="0.35">
      <c r="A186" s="25" t="s">
        <v>552</v>
      </c>
      <c r="B186" s="25" t="s">
        <v>2473</v>
      </c>
      <c r="C186" s="25" t="str">
        <f t="shared" si="13"/>
        <v>Huyện Vĩnh Cửu - Đồng Nai</v>
      </c>
      <c r="D186" s="25" t="s">
        <v>3139</v>
      </c>
      <c r="E186" s="25" t="s">
        <v>3140</v>
      </c>
      <c r="F186" s="23">
        <f t="shared" si="16"/>
        <v>1</v>
      </c>
      <c r="G186" s="23">
        <f t="shared" si="17"/>
        <v>1</v>
      </c>
    </row>
    <row r="187" spans="1:7" x14ac:dyDescent="0.35">
      <c r="A187" s="25" t="s">
        <v>552</v>
      </c>
      <c r="B187" s="25" t="s">
        <v>2471</v>
      </c>
      <c r="C187" s="25" t="str">
        <f t="shared" si="13"/>
        <v>Huyện Xuân Lộc - Đồng Nai</v>
      </c>
      <c r="D187" s="25" t="s">
        <v>3139</v>
      </c>
      <c r="E187" s="25" t="s">
        <v>3140</v>
      </c>
      <c r="F187" s="23">
        <f t="shared" si="16"/>
        <v>1</v>
      </c>
      <c r="G187" s="23">
        <f t="shared" si="17"/>
        <v>1</v>
      </c>
    </row>
    <row r="188" spans="1:7" x14ac:dyDescent="0.35">
      <c r="A188" s="25" t="s">
        <v>552</v>
      </c>
      <c r="B188" s="25" t="s">
        <v>2463</v>
      </c>
      <c r="C188" s="25" t="str">
        <f t="shared" si="13"/>
        <v>Thành phố Biên Hòa - Đồng Nai</v>
      </c>
      <c r="D188" s="25" t="s">
        <v>3142</v>
      </c>
      <c r="E188" s="25" t="s">
        <v>3140</v>
      </c>
      <c r="F188" s="23">
        <f t="shared" si="16"/>
        <v>1</v>
      </c>
      <c r="G188" s="23">
        <f t="shared" si="17"/>
        <v>1</v>
      </c>
    </row>
    <row r="189" spans="1:7" x14ac:dyDescent="0.35">
      <c r="A189" s="25" t="s">
        <v>552</v>
      </c>
      <c r="B189" s="25" t="s">
        <v>2472</v>
      </c>
      <c r="C189" s="25" t="str">
        <f t="shared" si="13"/>
        <v>Thị xã Long Khánh - Đồng Nai</v>
      </c>
      <c r="D189" s="25" t="s">
        <v>3139</v>
      </c>
      <c r="E189" s="25" t="s">
        <v>3140</v>
      </c>
      <c r="F189" s="23">
        <f t="shared" si="16"/>
        <v>1</v>
      </c>
      <c r="G189" s="23">
        <f t="shared" si="17"/>
        <v>1</v>
      </c>
    </row>
    <row r="190" spans="1:7" x14ac:dyDescent="0.35">
      <c r="A190" s="25" t="s">
        <v>553</v>
      </c>
      <c r="B190" s="25" t="s">
        <v>2522</v>
      </c>
      <c r="C190" s="25" t="str">
        <f t="shared" si="13"/>
        <v>Huyện Cao Lãnh - Đồng Tháp</v>
      </c>
      <c r="D190" s="25" t="s">
        <v>3139</v>
      </c>
      <c r="E190" s="25" t="s">
        <v>3140</v>
      </c>
      <c r="F190" s="23">
        <f t="shared" si="16"/>
        <v>1</v>
      </c>
      <c r="G190" s="23">
        <f t="shared" si="17"/>
        <v>1</v>
      </c>
    </row>
    <row r="191" spans="1:7" x14ac:dyDescent="0.35">
      <c r="A191" s="25" t="s">
        <v>553</v>
      </c>
      <c r="B191" s="25" t="s">
        <v>2523</v>
      </c>
      <c r="C191" s="25" t="str">
        <f t="shared" si="13"/>
        <v>Huyện Châu Thành - Đồng Tháp</v>
      </c>
      <c r="D191" s="25" t="s">
        <v>3139</v>
      </c>
      <c r="E191" s="25" t="s">
        <v>3140</v>
      </c>
      <c r="F191" s="23">
        <f t="shared" si="16"/>
        <v>10</v>
      </c>
      <c r="G191" s="23">
        <f t="shared" si="17"/>
        <v>1</v>
      </c>
    </row>
    <row r="192" spans="1:7" x14ac:dyDescent="0.35">
      <c r="A192" s="25" t="s">
        <v>553</v>
      </c>
      <c r="B192" s="25" t="s">
        <v>2695</v>
      </c>
      <c r="C192" s="25" t="str">
        <f t="shared" si="13"/>
        <v>Huyện Hồng Ngự - Đồng Tháp</v>
      </c>
      <c r="D192" s="25" t="s">
        <v>3139</v>
      </c>
      <c r="E192" s="25" t="s">
        <v>3140</v>
      </c>
      <c r="F192" s="23">
        <f t="shared" si="16"/>
        <v>1</v>
      </c>
      <c r="G192" s="23">
        <f t="shared" si="17"/>
        <v>1</v>
      </c>
    </row>
    <row r="193" spans="1:7" x14ac:dyDescent="0.35">
      <c r="A193" s="25" t="s">
        <v>553</v>
      </c>
      <c r="B193" s="25" t="s">
        <v>2532</v>
      </c>
      <c r="C193" s="25" t="str">
        <f t="shared" si="13"/>
        <v>Huyện Lai Vung - Đồng Tháp</v>
      </c>
      <c r="D193" s="25" t="s">
        <v>3141</v>
      </c>
      <c r="E193" s="25" t="s">
        <v>3140</v>
      </c>
      <c r="F193" s="23">
        <f t="shared" si="16"/>
        <v>1</v>
      </c>
      <c r="G193" s="23">
        <f t="shared" si="17"/>
        <v>1</v>
      </c>
    </row>
    <row r="194" spans="1:7" x14ac:dyDescent="0.35">
      <c r="A194" s="25" t="s">
        <v>553</v>
      </c>
      <c r="B194" s="25" t="s">
        <v>2636</v>
      </c>
      <c r="C194" s="25" t="str">
        <f t="shared" si="13"/>
        <v>Huyện Lấp Vò - Đồng Tháp</v>
      </c>
      <c r="D194" s="25" t="s">
        <v>3139</v>
      </c>
      <c r="E194" s="25" t="s">
        <v>3140</v>
      </c>
      <c r="F194" s="23">
        <f t="shared" si="16"/>
        <v>1</v>
      </c>
      <c r="G194" s="23">
        <f t="shared" si="17"/>
        <v>1</v>
      </c>
    </row>
    <row r="195" spans="1:7" x14ac:dyDescent="0.35">
      <c r="A195" s="25" t="s">
        <v>553</v>
      </c>
      <c r="B195" s="25" t="s">
        <v>2679</v>
      </c>
      <c r="C195" s="25" t="str">
        <f t="shared" si="13"/>
        <v>Huyện Tam Nông - Đồng Tháp</v>
      </c>
      <c r="D195" s="25" t="s">
        <v>3139</v>
      </c>
      <c r="E195" s="25" t="s">
        <v>3140</v>
      </c>
      <c r="F195" s="23">
        <f t="shared" si="16"/>
        <v>2</v>
      </c>
      <c r="G195" s="23">
        <f t="shared" si="17"/>
        <v>1</v>
      </c>
    </row>
    <row r="196" spans="1:7" x14ac:dyDescent="0.35">
      <c r="A196" s="25" t="s">
        <v>553</v>
      </c>
      <c r="B196" s="25" t="s">
        <v>2666</v>
      </c>
      <c r="C196" s="25" t="str">
        <f t="shared" si="13"/>
        <v>Huyện Tân Hồng - Đồng Tháp</v>
      </c>
      <c r="D196" s="25" t="s">
        <v>3139</v>
      </c>
      <c r="E196" s="25" t="s">
        <v>3140</v>
      </c>
      <c r="F196" s="23">
        <f t="shared" si="16"/>
        <v>1</v>
      </c>
      <c r="G196" s="23">
        <f t="shared" si="17"/>
        <v>1</v>
      </c>
    </row>
    <row r="197" spans="1:7" x14ac:dyDescent="0.35">
      <c r="A197" s="25" t="s">
        <v>553</v>
      </c>
      <c r="B197" s="25" t="s">
        <v>2661</v>
      </c>
      <c r="C197" s="25" t="str">
        <f t="shared" si="13"/>
        <v>Huyện Thanh Bình - Đồng Tháp</v>
      </c>
      <c r="D197" s="25" t="s">
        <v>3139</v>
      </c>
      <c r="E197" s="25" t="s">
        <v>3140</v>
      </c>
      <c r="F197" s="23">
        <f t="shared" si="16"/>
        <v>1</v>
      </c>
      <c r="G197" s="23">
        <f t="shared" si="17"/>
        <v>1</v>
      </c>
    </row>
    <row r="198" spans="1:7" x14ac:dyDescent="0.35">
      <c r="A198" s="25" t="s">
        <v>553</v>
      </c>
      <c r="B198" s="25" t="s">
        <v>2631</v>
      </c>
      <c r="C198" s="25" t="str">
        <f t="shared" ref="C198:C262" si="18">B198&amp;" - "&amp;A198</f>
        <v>Huyện Tháp Mười - Đồng Tháp</v>
      </c>
      <c r="D198" s="25" t="s">
        <v>3139</v>
      </c>
      <c r="E198" s="25" t="s">
        <v>3140</v>
      </c>
      <c r="F198" s="23">
        <f t="shared" si="16"/>
        <v>1</v>
      </c>
      <c r="G198" s="23">
        <f t="shared" si="17"/>
        <v>1</v>
      </c>
    </row>
    <row r="199" spans="1:7" x14ac:dyDescent="0.35">
      <c r="A199" s="25" t="s">
        <v>553</v>
      </c>
      <c r="B199" s="25" t="s">
        <v>2500</v>
      </c>
      <c r="C199" s="25" t="str">
        <f t="shared" si="18"/>
        <v>Thành phố Cao Lãnh - Đồng Tháp</v>
      </c>
      <c r="D199" s="25" t="s">
        <v>3142</v>
      </c>
      <c r="E199" s="25" t="s">
        <v>3140</v>
      </c>
      <c r="F199" s="23">
        <f t="shared" si="16"/>
        <v>1</v>
      </c>
      <c r="G199" s="23">
        <f t="shared" si="17"/>
        <v>1</v>
      </c>
    </row>
    <row r="200" spans="1:7" x14ac:dyDescent="0.35">
      <c r="A200" s="25" t="s">
        <v>553</v>
      </c>
      <c r="B200" s="25" t="s">
        <v>2511</v>
      </c>
      <c r="C200" s="25" t="str">
        <f t="shared" si="18"/>
        <v>Thành phố Sa Đéc - Đồng Tháp</v>
      </c>
      <c r="D200" s="25" t="s">
        <v>3141</v>
      </c>
      <c r="E200" s="25" t="s">
        <v>3140</v>
      </c>
      <c r="F200" s="23">
        <f t="shared" si="16"/>
        <v>1</v>
      </c>
      <c r="G200" s="23">
        <f t="shared" si="17"/>
        <v>1</v>
      </c>
    </row>
    <row r="201" spans="1:7" x14ac:dyDescent="0.35">
      <c r="A201" s="25" t="s">
        <v>553</v>
      </c>
      <c r="B201" s="26" t="s">
        <v>553</v>
      </c>
      <c r="C201" s="25" t="str">
        <f t="shared" ref="C201" si="19">B201&amp;" - "&amp;A201</f>
        <v>Đồng Tháp - Đồng Tháp</v>
      </c>
      <c r="D201" s="25" t="s">
        <v>3142</v>
      </c>
      <c r="E201" s="25" t="s">
        <v>3140</v>
      </c>
    </row>
    <row r="202" spans="1:7" x14ac:dyDescent="0.35">
      <c r="A202" s="25" t="s">
        <v>553</v>
      </c>
      <c r="B202" s="25" t="s">
        <v>2638</v>
      </c>
      <c r="C202" s="25" t="str">
        <f t="shared" si="18"/>
        <v>Thị xã Hồng Ngự - Đồng Tháp</v>
      </c>
      <c r="D202" s="25" t="s">
        <v>3139</v>
      </c>
      <c r="E202" s="25" t="s">
        <v>3140</v>
      </c>
      <c r="F202" s="23">
        <f t="shared" ref="F202:F265" si="20">COUNTIF($B:$B,B202)</f>
        <v>1</v>
      </c>
      <c r="G202" s="23">
        <f t="shared" ref="G202:G265" si="21">COUNTIF($C:$C,C202)</f>
        <v>1</v>
      </c>
    </row>
    <row r="203" spans="1:7" x14ac:dyDescent="0.35">
      <c r="A203" s="25" t="s">
        <v>554</v>
      </c>
      <c r="B203" s="25" t="s">
        <v>2525</v>
      </c>
      <c r="C203" s="25" t="str">
        <f t="shared" si="18"/>
        <v>Huyện Chư Păh - Gia Lai</v>
      </c>
      <c r="D203" s="25" t="s">
        <v>3141</v>
      </c>
      <c r="E203" s="25" t="s">
        <v>3140</v>
      </c>
      <c r="F203" s="23">
        <f t="shared" si="20"/>
        <v>1</v>
      </c>
      <c r="G203" s="23">
        <f t="shared" si="21"/>
        <v>1</v>
      </c>
    </row>
    <row r="204" spans="1:7" x14ac:dyDescent="0.35">
      <c r="A204" s="25" t="s">
        <v>554</v>
      </c>
      <c r="B204" s="25" t="s">
        <v>2577</v>
      </c>
      <c r="C204" s="25" t="str">
        <f t="shared" si="18"/>
        <v>Huyện Chư Prông - Gia Lai</v>
      </c>
      <c r="D204" s="25" t="s">
        <v>3139</v>
      </c>
      <c r="E204" s="25" t="s">
        <v>3140</v>
      </c>
      <c r="F204" s="23">
        <f t="shared" si="20"/>
        <v>1</v>
      </c>
      <c r="G204" s="23">
        <f t="shared" si="21"/>
        <v>1</v>
      </c>
    </row>
    <row r="205" spans="1:7" x14ac:dyDescent="0.35">
      <c r="A205" s="25" t="s">
        <v>554</v>
      </c>
      <c r="B205" s="25" t="s">
        <v>2678</v>
      </c>
      <c r="C205" s="25" t="str">
        <f t="shared" si="18"/>
        <v>Huyện Chư Pưh - Gia Lai</v>
      </c>
      <c r="D205" s="25" t="s">
        <v>3139</v>
      </c>
      <c r="E205" s="25" t="s">
        <v>3140</v>
      </c>
      <c r="F205" s="23">
        <f t="shared" si="20"/>
        <v>1</v>
      </c>
      <c r="G205" s="23">
        <f t="shared" si="21"/>
        <v>1</v>
      </c>
    </row>
    <row r="206" spans="1:7" x14ac:dyDescent="0.35">
      <c r="A206" s="25" t="s">
        <v>554</v>
      </c>
      <c r="B206" s="25" t="s">
        <v>2578</v>
      </c>
      <c r="C206" s="25" t="str">
        <f t="shared" si="18"/>
        <v>Huyện Chư Sê - Gia Lai</v>
      </c>
      <c r="D206" s="25" t="s">
        <v>3139</v>
      </c>
      <c r="E206" s="25" t="s">
        <v>3140</v>
      </c>
      <c r="F206" s="23">
        <f t="shared" si="20"/>
        <v>1</v>
      </c>
      <c r="G206" s="23">
        <f t="shared" si="21"/>
        <v>1</v>
      </c>
    </row>
    <row r="207" spans="1:7" x14ac:dyDescent="0.35">
      <c r="A207" s="25" t="s">
        <v>554</v>
      </c>
      <c r="B207" s="26" t="s">
        <v>2564</v>
      </c>
      <c r="C207" s="25" t="str">
        <f t="shared" si="18"/>
        <v>Huyện Đắk Đoa - Gia Lai</v>
      </c>
      <c r="D207" s="25" t="s">
        <v>3141</v>
      </c>
      <c r="E207" s="25" t="s">
        <v>3140</v>
      </c>
      <c r="F207" s="23">
        <f t="shared" si="20"/>
        <v>1</v>
      </c>
      <c r="G207" s="23">
        <f t="shared" si="21"/>
        <v>1</v>
      </c>
    </row>
    <row r="208" spans="1:7" x14ac:dyDescent="0.35">
      <c r="A208" s="25" t="s">
        <v>554</v>
      </c>
      <c r="B208" s="26" t="s">
        <v>2742</v>
      </c>
      <c r="C208" s="25" t="str">
        <f t="shared" si="18"/>
        <v>Huyện Đắk Pơ - Gia Lai</v>
      </c>
      <c r="D208" s="25" t="s">
        <v>3139</v>
      </c>
      <c r="E208" s="25" t="s">
        <v>3140</v>
      </c>
      <c r="F208" s="23">
        <f t="shared" si="20"/>
        <v>1</v>
      </c>
      <c r="G208" s="23">
        <f t="shared" si="21"/>
        <v>1</v>
      </c>
    </row>
    <row r="209" spans="1:7" x14ac:dyDescent="0.35">
      <c r="A209" s="25" t="s">
        <v>554</v>
      </c>
      <c r="B209" s="25" t="s">
        <v>2586</v>
      </c>
      <c r="C209" s="25" t="str">
        <f t="shared" si="18"/>
        <v>Huyện Đức Cơ - Gia Lai</v>
      </c>
      <c r="D209" s="25" t="s">
        <v>3139</v>
      </c>
      <c r="E209" s="25" t="s">
        <v>3140</v>
      </c>
      <c r="F209" s="23">
        <f t="shared" si="20"/>
        <v>1</v>
      </c>
      <c r="G209" s="23">
        <f t="shared" si="21"/>
        <v>1</v>
      </c>
    </row>
    <row r="210" spans="1:7" x14ac:dyDescent="0.35">
      <c r="A210" s="25" t="s">
        <v>554</v>
      </c>
      <c r="B210" s="25" t="s">
        <v>2537</v>
      </c>
      <c r="C210" s="25" t="str">
        <f t="shared" si="18"/>
        <v>Huyện Ia Grai - Gia Lai</v>
      </c>
      <c r="D210" s="25" t="s">
        <v>3141</v>
      </c>
      <c r="E210" s="25" t="s">
        <v>3140</v>
      </c>
      <c r="F210" s="23">
        <f t="shared" si="20"/>
        <v>1</v>
      </c>
      <c r="G210" s="23">
        <f t="shared" si="21"/>
        <v>1</v>
      </c>
    </row>
    <row r="211" spans="1:7" x14ac:dyDescent="0.35">
      <c r="A211" s="25" t="s">
        <v>554</v>
      </c>
      <c r="B211" s="25" t="s">
        <v>2623</v>
      </c>
      <c r="C211" s="25" t="str">
        <f t="shared" si="18"/>
        <v>Huyện Ia Pa - Gia Lai</v>
      </c>
      <c r="D211" s="25" t="s">
        <v>3139</v>
      </c>
      <c r="E211" s="25" t="s">
        <v>3140</v>
      </c>
      <c r="F211" s="23">
        <f t="shared" si="20"/>
        <v>1</v>
      </c>
      <c r="G211" s="23">
        <f t="shared" si="21"/>
        <v>1</v>
      </c>
    </row>
    <row r="212" spans="1:7" x14ac:dyDescent="0.35">
      <c r="A212" s="25" t="s">
        <v>554</v>
      </c>
      <c r="B212" s="25" t="s">
        <v>3157</v>
      </c>
      <c r="C212" s="25" t="str">
        <f t="shared" si="18"/>
        <v>Huyện KBang - Gia Lai</v>
      </c>
      <c r="D212" s="25" t="s">
        <v>3139</v>
      </c>
      <c r="E212" s="25" t="s">
        <v>3140</v>
      </c>
      <c r="F212" s="23">
        <f t="shared" si="20"/>
        <v>1</v>
      </c>
      <c r="G212" s="23">
        <f t="shared" si="21"/>
        <v>1</v>
      </c>
    </row>
    <row r="213" spans="1:7" x14ac:dyDescent="0.35">
      <c r="A213" s="25" t="s">
        <v>554</v>
      </c>
      <c r="B213" s="25" t="s">
        <v>2729</v>
      </c>
      <c r="C213" s="25" t="str">
        <f t="shared" si="18"/>
        <v>Huyện Kông Chro - Gia Lai</v>
      </c>
      <c r="D213" s="25" t="s">
        <v>3139</v>
      </c>
      <c r="E213" s="25" t="s">
        <v>3140</v>
      </c>
      <c r="F213" s="23">
        <f t="shared" si="20"/>
        <v>1</v>
      </c>
      <c r="G213" s="23">
        <f t="shared" si="21"/>
        <v>1</v>
      </c>
    </row>
    <row r="214" spans="1:7" x14ac:dyDescent="0.35">
      <c r="A214" s="25" t="s">
        <v>554</v>
      </c>
      <c r="B214" s="25" t="s">
        <v>2732</v>
      </c>
      <c r="C214" s="25" t="str">
        <f t="shared" si="18"/>
        <v>Huyện Krông Pa - Gia Lai</v>
      </c>
      <c r="D214" s="25" t="s">
        <v>3139</v>
      </c>
      <c r="E214" s="25" t="s">
        <v>3140</v>
      </c>
      <c r="F214" s="23">
        <f t="shared" si="20"/>
        <v>1</v>
      </c>
      <c r="G214" s="23">
        <f t="shared" si="21"/>
        <v>1</v>
      </c>
    </row>
    <row r="215" spans="1:7" x14ac:dyDescent="0.35">
      <c r="A215" s="25" t="s">
        <v>554</v>
      </c>
      <c r="B215" s="25" t="s">
        <v>2713</v>
      </c>
      <c r="C215" s="25" t="str">
        <f t="shared" si="18"/>
        <v>Huyện Mang Yang - Gia Lai</v>
      </c>
      <c r="D215" s="25" t="s">
        <v>3139</v>
      </c>
      <c r="E215" s="25" t="s">
        <v>3140</v>
      </c>
      <c r="F215" s="23">
        <f t="shared" si="20"/>
        <v>1</v>
      </c>
      <c r="G215" s="23">
        <f t="shared" si="21"/>
        <v>1</v>
      </c>
    </row>
    <row r="216" spans="1:7" x14ac:dyDescent="0.35">
      <c r="A216" s="25" t="s">
        <v>554</v>
      </c>
      <c r="B216" s="25" t="s">
        <v>2599</v>
      </c>
      <c r="C216" s="25" t="str">
        <f t="shared" si="18"/>
        <v>Huyện Phú Thiện - Gia Lai</v>
      </c>
      <c r="D216" s="25" t="s">
        <v>3139</v>
      </c>
      <c r="E216" s="25" t="s">
        <v>3140</v>
      </c>
      <c r="F216" s="23">
        <f t="shared" si="20"/>
        <v>1</v>
      </c>
      <c r="G216" s="23">
        <f t="shared" si="21"/>
        <v>1</v>
      </c>
    </row>
    <row r="217" spans="1:7" x14ac:dyDescent="0.35">
      <c r="A217" s="25" t="s">
        <v>554</v>
      </c>
      <c r="B217" s="25" t="s">
        <v>2508</v>
      </c>
      <c r="C217" s="25" t="str">
        <f t="shared" si="18"/>
        <v>Thành phố Pleiku - Gia Lai</v>
      </c>
      <c r="D217" s="25" t="s">
        <v>3142</v>
      </c>
      <c r="E217" s="25" t="s">
        <v>3140</v>
      </c>
      <c r="F217" s="23">
        <f t="shared" si="20"/>
        <v>1</v>
      </c>
      <c r="G217" s="23">
        <f t="shared" si="21"/>
        <v>1</v>
      </c>
    </row>
    <row r="218" spans="1:7" x14ac:dyDescent="0.35">
      <c r="A218" s="25" t="s">
        <v>554</v>
      </c>
      <c r="B218" s="25" t="s">
        <v>3158</v>
      </c>
      <c r="C218" s="25" t="str">
        <f t="shared" si="18"/>
        <v>Thị xã An Khê - Gia Lai</v>
      </c>
      <c r="D218" s="25" t="s">
        <v>3139</v>
      </c>
      <c r="E218" s="25" t="s">
        <v>3140</v>
      </c>
      <c r="F218" s="23">
        <f t="shared" si="20"/>
        <v>1</v>
      </c>
      <c r="G218" s="23">
        <f t="shared" si="21"/>
        <v>1</v>
      </c>
    </row>
    <row r="219" spans="1:7" x14ac:dyDescent="0.35">
      <c r="A219" s="25" t="s">
        <v>554</v>
      </c>
      <c r="B219" s="25" t="s">
        <v>3159</v>
      </c>
      <c r="C219" s="25" t="str">
        <f t="shared" si="18"/>
        <v>Thị xã Ayun Pa - Gia Lai</v>
      </c>
      <c r="D219" s="25" t="s">
        <v>3139</v>
      </c>
      <c r="E219" s="25" t="s">
        <v>3140</v>
      </c>
      <c r="F219" s="23">
        <f t="shared" si="20"/>
        <v>1</v>
      </c>
      <c r="G219" s="23">
        <f t="shared" si="21"/>
        <v>1</v>
      </c>
    </row>
    <row r="220" spans="1:7" x14ac:dyDescent="0.35">
      <c r="A220" s="25" t="s">
        <v>499</v>
      </c>
      <c r="B220" s="25" t="s">
        <v>3084</v>
      </c>
      <c r="C220" s="25" t="str">
        <f t="shared" si="18"/>
        <v>Huyện Bắc Mê - Hà Giang</v>
      </c>
      <c r="D220" s="25" t="s">
        <v>3139</v>
      </c>
      <c r="E220" s="25" t="s">
        <v>3145</v>
      </c>
      <c r="F220" s="23">
        <f t="shared" si="20"/>
        <v>1</v>
      </c>
      <c r="G220" s="23">
        <f t="shared" si="21"/>
        <v>1</v>
      </c>
    </row>
    <row r="221" spans="1:7" x14ac:dyDescent="0.35">
      <c r="A221" s="25" t="s">
        <v>499</v>
      </c>
      <c r="B221" s="25" t="s">
        <v>2965</v>
      </c>
      <c r="C221" s="25" t="str">
        <f t="shared" si="18"/>
        <v>Huyện Bắc Quang - Hà Giang</v>
      </c>
      <c r="D221" s="25" t="s">
        <v>3139</v>
      </c>
      <c r="E221" s="25" t="s">
        <v>3145</v>
      </c>
      <c r="F221" s="23">
        <f t="shared" si="20"/>
        <v>1</v>
      </c>
      <c r="G221" s="23">
        <f t="shared" si="21"/>
        <v>1</v>
      </c>
    </row>
    <row r="222" spans="1:7" x14ac:dyDescent="0.35">
      <c r="A222" s="25" t="s">
        <v>499</v>
      </c>
      <c r="B222" s="25" t="s">
        <v>2972</v>
      </c>
      <c r="C222" s="25" t="str">
        <f t="shared" si="18"/>
        <v>Huyện Đồng Văn - Hà Giang</v>
      </c>
      <c r="D222" s="25" t="s">
        <v>3139</v>
      </c>
      <c r="E222" s="25" t="s">
        <v>3145</v>
      </c>
      <c r="F222" s="23">
        <f t="shared" si="20"/>
        <v>1</v>
      </c>
      <c r="G222" s="23">
        <f t="shared" si="21"/>
        <v>1</v>
      </c>
    </row>
    <row r="223" spans="1:7" x14ac:dyDescent="0.35">
      <c r="A223" s="25" t="s">
        <v>499</v>
      </c>
      <c r="B223" s="25" t="s">
        <v>3009</v>
      </c>
      <c r="C223" s="25" t="str">
        <f t="shared" si="18"/>
        <v>Huyện Hoàng Su Phì - Hà Giang</v>
      </c>
      <c r="D223" s="25" t="s">
        <v>3139</v>
      </c>
      <c r="E223" s="25" t="s">
        <v>3145</v>
      </c>
      <c r="F223" s="23">
        <f t="shared" si="20"/>
        <v>1</v>
      </c>
      <c r="G223" s="23">
        <f t="shared" si="21"/>
        <v>1</v>
      </c>
    </row>
    <row r="224" spans="1:7" x14ac:dyDescent="0.35">
      <c r="A224" s="25" t="s">
        <v>499</v>
      </c>
      <c r="B224" s="25" t="s">
        <v>3018</v>
      </c>
      <c r="C224" s="25" t="str">
        <f t="shared" si="18"/>
        <v>Huyện Mèo Vạc - Hà Giang</v>
      </c>
      <c r="D224" s="25" t="s">
        <v>3139</v>
      </c>
      <c r="E224" s="25" t="s">
        <v>3145</v>
      </c>
      <c r="F224" s="23">
        <f t="shared" si="20"/>
        <v>1</v>
      </c>
      <c r="G224" s="23">
        <f t="shared" si="21"/>
        <v>1</v>
      </c>
    </row>
    <row r="225" spans="1:7" x14ac:dyDescent="0.35">
      <c r="A225" s="25" t="s">
        <v>499</v>
      </c>
      <c r="B225" s="25" t="s">
        <v>2996</v>
      </c>
      <c r="C225" s="25" t="str">
        <f t="shared" si="18"/>
        <v>Huyện Quản Bạ - Hà Giang</v>
      </c>
      <c r="D225" s="25" t="s">
        <v>3139</v>
      </c>
      <c r="E225" s="25" t="s">
        <v>3145</v>
      </c>
      <c r="F225" s="23">
        <f t="shared" si="20"/>
        <v>1</v>
      </c>
      <c r="G225" s="23">
        <f t="shared" si="21"/>
        <v>1</v>
      </c>
    </row>
    <row r="226" spans="1:7" x14ac:dyDescent="0.35">
      <c r="A226" s="25" t="s">
        <v>499</v>
      </c>
      <c r="B226" s="25" t="s">
        <v>2995</v>
      </c>
      <c r="C226" s="25" t="str">
        <f t="shared" si="18"/>
        <v>Huyện Quang Bình - Hà Giang</v>
      </c>
      <c r="D226" s="25" t="s">
        <v>3139</v>
      </c>
      <c r="E226" s="25" t="s">
        <v>3145</v>
      </c>
      <c r="F226" s="23">
        <f t="shared" si="20"/>
        <v>1</v>
      </c>
      <c r="G226" s="23">
        <f t="shared" si="21"/>
        <v>1</v>
      </c>
    </row>
    <row r="227" spans="1:7" x14ac:dyDescent="0.35">
      <c r="A227" s="25" t="s">
        <v>499</v>
      </c>
      <c r="B227" s="25" t="s">
        <v>2964</v>
      </c>
      <c r="C227" s="25" t="str">
        <f t="shared" si="18"/>
        <v>Huyện Vị Xuyên - Hà Giang</v>
      </c>
      <c r="D227" s="25" t="s">
        <v>3141</v>
      </c>
      <c r="E227" s="25" t="s">
        <v>3145</v>
      </c>
      <c r="F227" s="23">
        <f t="shared" si="20"/>
        <v>1</v>
      </c>
      <c r="G227" s="23">
        <f t="shared" si="21"/>
        <v>1</v>
      </c>
    </row>
    <row r="228" spans="1:7" x14ac:dyDescent="0.35">
      <c r="A228" s="25" t="s">
        <v>499</v>
      </c>
      <c r="B228" s="25" t="s">
        <v>2999</v>
      </c>
      <c r="C228" s="25" t="str">
        <f t="shared" si="18"/>
        <v>Huyện Xín Mần - Hà Giang</v>
      </c>
      <c r="D228" s="25" t="s">
        <v>3139</v>
      </c>
      <c r="E228" s="25" t="s">
        <v>3145</v>
      </c>
      <c r="F228" s="23">
        <f t="shared" si="20"/>
        <v>1</v>
      </c>
      <c r="G228" s="23">
        <f t="shared" si="21"/>
        <v>1</v>
      </c>
    </row>
    <row r="229" spans="1:7" x14ac:dyDescent="0.35">
      <c r="A229" s="25" t="s">
        <v>499</v>
      </c>
      <c r="B229" s="25" t="s">
        <v>3019</v>
      </c>
      <c r="C229" s="25" t="str">
        <f t="shared" si="18"/>
        <v>Huyện Yên Minh - Hà Giang</v>
      </c>
      <c r="D229" s="25" t="s">
        <v>3139</v>
      </c>
      <c r="E229" s="25" t="s">
        <v>3145</v>
      </c>
      <c r="F229" s="23">
        <f t="shared" si="20"/>
        <v>1</v>
      </c>
      <c r="G229" s="23">
        <f t="shared" si="21"/>
        <v>1</v>
      </c>
    </row>
    <row r="230" spans="1:7" x14ac:dyDescent="0.35">
      <c r="A230" s="25" t="s">
        <v>499</v>
      </c>
      <c r="B230" s="25" t="s">
        <v>2816</v>
      </c>
      <c r="C230" s="25" t="str">
        <f t="shared" si="18"/>
        <v>Thành phố Hà Giang - Hà Giang</v>
      </c>
      <c r="D230" s="25" t="s">
        <v>3142</v>
      </c>
      <c r="E230" s="25" t="s">
        <v>3145</v>
      </c>
      <c r="F230" s="23">
        <f t="shared" si="20"/>
        <v>1</v>
      </c>
      <c r="G230" s="23">
        <f t="shared" si="21"/>
        <v>1</v>
      </c>
    </row>
    <row r="231" spans="1:7" x14ac:dyDescent="0.35">
      <c r="A231" s="25" t="s">
        <v>517</v>
      </c>
      <c r="B231" s="25" t="s">
        <v>2881</v>
      </c>
      <c r="C231" s="25" t="str">
        <f t="shared" si="18"/>
        <v>Huyện Bình Lục - Hà Nam</v>
      </c>
      <c r="D231" s="25" t="s">
        <v>3141</v>
      </c>
      <c r="E231" s="25" t="s">
        <v>3145</v>
      </c>
      <c r="F231" s="23">
        <f t="shared" si="20"/>
        <v>1</v>
      </c>
      <c r="G231" s="23">
        <f t="shared" si="21"/>
        <v>1</v>
      </c>
    </row>
    <row r="232" spans="1:7" x14ac:dyDescent="0.35">
      <c r="A232" s="25" t="s">
        <v>517</v>
      </c>
      <c r="B232" s="25" t="s">
        <v>2842</v>
      </c>
      <c r="C232" s="25" t="str">
        <f t="shared" si="18"/>
        <v>Huyện Duy Tiên - Hà Nam</v>
      </c>
      <c r="D232" s="25" t="s">
        <v>3141</v>
      </c>
      <c r="E232" s="25" t="s">
        <v>3145</v>
      </c>
      <c r="F232" s="23">
        <f t="shared" si="20"/>
        <v>1</v>
      </c>
      <c r="G232" s="23">
        <f t="shared" si="21"/>
        <v>1</v>
      </c>
    </row>
    <row r="233" spans="1:7" x14ac:dyDescent="0.35">
      <c r="A233" s="25" t="s">
        <v>517</v>
      </c>
      <c r="B233" s="25" t="s">
        <v>2872</v>
      </c>
      <c r="C233" s="25" t="str">
        <f t="shared" si="18"/>
        <v>Huyện Kim Bảng - Hà Nam</v>
      </c>
      <c r="D233" s="25" t="s">
        <v>3141</v>
      </c>
      <c r="E233" s="25" t="s">
        <v>3145</v>
      </c>
      <c r="F233" s="23">
        <f t="shared" si="20"/>
        <v>1</v>
      </c>
      <c r="G233" s="23">
        <f t="shared" si="21"/>
        <v>1</v>
      </c>
    </row>
    <row r="234" spans="1:7" x14ac:dyDescent="0.35">
      <c r="A234" s="25" t="s">
        <v>517</v>
      </c>
      <c r="B234" s="25" t="s">
        <v>2874</v>
      </c>
      <c r="C234" s="25" t="str">
        <f t="shared" si="18"/>
        <v>Huyện Lý Nhân - Hà Nam</v>
      </c>
      <c r="D234" s="25" t="s">
        <v>3141</v>
      </c>
      <c r="E234" s="25" t="s">
        <v>3145</v>
      </c>
      <c r="F234" s="23">
        <f t="shared" si="20"/>
        <v>1</v>
      </c>
      <c r="G234" s="23">
        <f t="shared" si="21"/>
        <v>1</v>
      </c>
    </row>
    <row r="235" spans="1:7" x14ac:dyDescent="0.35">
      <c r="A235" s="25" t="s">
        <v>517</v>
      </c>
      <c r="B235" s="25" t="s">
        <v>2882</v>
      </c>
      <c r="C235" s="25" t="str">
        <f t="shared" si="18"/>
        <v>Huyện Thanh Liêm - Hà Nam</v>
      </c>
      <c r="D235" s="25" t="s">
        <v>3141</v>
      </c>
      <c r="E235" s="25" t="s">
        <v>3145</v>
      </c>
      <c r="F235" s="23">
        <f t="shared" si="20"/>
        <v>1</v>
      </c>
      <c r="G235" s="23">
        <f t="shared" si="21"/>
        <v>1</v>
      </c>
    </row>
    <row r="236" spans="1:7" x14ac:dyDescent="0.35">
      <c r="A236" s="25" t="s">
        <v>517</v>
      </c>
      <c r="B236" s="25" t="s">
        <v>2826</v>
      </c>
      <c r="C236" s="25" t="str">
        <f t="shared" si="18"/>
        <v>Thành phố Phủ Lý - Hà Nam</v>
      </c>
      <c r="D236" s="25" t="s">
        <v>3142</v>
      </c>
      <c r="E236" s="25" t="s">
        <v>3145</v>
      </c>
      <c r="F236" s="23">
        <f t="shared" si="20"/>
        <v>1</v>
      </c>
      <c r="G236" s="23">
        <f t="shared" si="21"/>
        <v>1</v>
      </c>
    </row>
    <row r="237" spans="1:7" x14ac:dyDescent="0.35">
      <c r="A237" s="25" t="s">
        <v>500</v>
      </c>
      <c r="B237" s="25" t="s">
        <v>2420</v>
      </c>
      <c r="C237" s="25" t="str">
        <f t="shared" si="18"/>
        <v>Huyện Ba Vì - Hà Nội</v>
      </c>
      <c r="D237" s="25" t="s">
        <v>3139</v>
      </c>
      <c r="E237" s="25" t="s">
        <v>3145</v>
      </c>
      <c r="F237" s="23">
        <f t="shared" si="20"/>
        <v>1</v>
      </c>
      <c r="G237" s="23">
        <f t="shared" si="21"/>
        <v>1</v>
      </c>
    </row>
    <row r="238" spans="1:7" x14ac:dyDescent="0.35">
      <c r="A238" s="25" t="s">
        <v>500</v>
      </c>
      <c r="B238" s="25" t="s">
        <v>2433</v>
      </c>
      <c r="C238" s="25" t="str">
        <f t="shared" si="18"/>
        <v>Huyện Chương Mỹ - Hà Nội</v>
      </c>
      <c r="D238" s="25" t="s">
        <v>3139</v>
      </c>
      <c r="E238" s="25" t="s">
        <v>3145</v>
      </c>
      <c r="F238" s="23">
        <f t="shared" si="20"/>
        <v>1</v>
      </c>
      <c r="G238" s="23">
        <f t="shared" si="21"/>
        <v>1</v>
      </c>
    </row>
    <row r="239" spans="1:7" x14ac:dyDescent="0.35">
      <c r="A239" s="25" t="s">
        <v>500</v>
      </c>
      <c r="B239" s="25" t="s">
        <v>2421</v>
      </c>
      <c r="C239" s="25" t="str">
        <f t="shared" si="18"/>
        <v>Huyện Đan Phượng - Hà Nội</v>
      </c>
      <c r="D239" s="25" t="s">
        <v>3139</v>
      </c>
      <c r="E239" s="25" t="s">
        <v>3145</v>
      </c>
      <c r="F239" s="23">
        <f t="shared" si="20"/>
        <v>1</v>
      </c>
      <c r="G239" s="23">
        <f t="shared" si="21"/>
        <v>1</v>
      </c>
    </row>
    <row r="240" spans="1:7" x14ac:dyDescent="0.35">
      <c r="A240" s="25" t="s">
        <v>500</v>
      </c>
      <c r="B240" s="25" t="s">
        <v>2422</v>
      </c>
      <c r="C240" s="25" t="str">
        <f t="shared" si="18"/>
        <v>Huyện Đông Anh - Hà Nội</v>
      </c>
      <c r="D240" s="25" t="s">
        <v>3139</v>
      </c>
      <c r="E240" s="25" t="s">
        <v>3145</v>
      </c>
      <c r="F240" s="23">
        <f t="shared" si="20"/>
        <v>1</v>
      </c>
      <c r="G240" s="23">
        <f t="shared" si="21"/>
        <v>1</v>
      </c>
    </row>
    <row r="241" spans="1:7" x14ac:dyDescent="0.35">
      <c r="A241" s="25" t="s">
        <v>500</v>
      </c>
      <c r="B241" s="25" t="s">
        <v>2419</v>
      </c>
      <c r="C241" s="25" t="str">
        <f t="shared" si="18"/>
        <v>Huyện Gia Lâm - Hà Nội</v>
      </c>
      <c r="D241" s="25" t="s">
        <v>3139</v>
      </c>
      <c r="E241" s="25" t="s">
        <v>3145</v>
      </c>
      <c r="F241" s="23">
        <f t="shared" si="20"/>
        <v>1</v>
      </c>
      <c r="G241" s="23">
        <f t="shared" si="21"/>
        <v>1</v>
      </c>
    </row>
    <row r="242" spans="1:7" x14ac:dyDescent="0.35">
      <c r="A242" s="25" t="s">
        <v>500</v>
      </c>
      <c r="B242" s="25" t="s">
        <v>2423</v>
      </c>
      <c r="C242" s="25" t="str">
        <f t="shared" si="18"/>
        <v>Huyện Hoài Đức - Hà Nội</v>
      </c>
      <c r="D242" s="25" t="s">
        <v>3139</v>
      </c>
      <c r="E242" s="25" t="s">
        <v>3145</v>
      </c>
      <c r="F242" s="23">
        <f t="shared" si="20"/>
        <v>1</v>
      </c>
      <c r="G242" s="23">
        <f t="shared" si="21"/>
        <v>1</v>
      </c>
    </row>
    <row r="243" spans="1:7" x14ac:dyDescent="0.35">
      <c r="A243" s="25" t="s">
        <v>500</v>
      </c>
      <c r="B243" s="25" t="s">
        <v>2424</v>
      </c>
      <c r="C243" s="25" t="str">
        <f t="shared" si="18"/>
        <v>Huyện Mê Linh - Hà Nội</v>
      </c>
      <c r="D243" s="25" t="s">
        <v>3139</v>
      </c>
      <c r="E243" s="25" t="s">
        <v>3145</v>
      </c>
      <c r="F243" s="23">
        <f t="shared" si="20"/>
        <v>1</v>
      </c>
      <c r="G243" s="23">
        <f t="shared" si="21"/>
        <v>1</v>
      </c>
    </row>
    <row r="244" spans="1:7" x14ac:dyDescent="0.35">
      <c r="A244" s="25" t="s">
        <v>500</v>
      </c>
      <c r="B244" s="25" t="s">
        <v>2425</v>
      </c>
      <c r="C244" s="25" t="str">
        <f t="shared" si="18"/>
        <v>Huyện Mỹ Đức - Hà Nội</v>
      </c>
      <c r="D244" s="25" t="s">
        <v>3139</v>
      </c>
      <c r="E244" s="25" t="s">
        <v>3145</v>
      </c>
      <c r="F244" s="23">
        <f t="shared" si="20"/>
        <v>1</v>
      </c>
      <c r="G244" s="23">
        <f t="shared" si="21"/>
        <v>1</v>
      </c>
    </row>
    <row r="245" spans="1:7" x14ac:dyDescent="0.35">
      <c r="A245" s="25" t="s">
        <v>500</v>
      </c>
      <c r="B245" s="25" t="s">
        <v>2437</v>
      </c>
      <c r="C245" s="25" t="str">
        <f t="shared" si="18"/>
        <v>Huyện Phú Xuyên - Hà Nội</v>
      </c>
      <c r="D245" s="25" t="s">
        <v>3139</v>
      </c>
      <c r="E245" s="25" t="s">
        <v>3145</v>
      </c>
      <c r="F245" s="23">
        <f t="shared" si="20"/>
        <v>1</v>
      </c>
      <c r="G245" s="23">
        <f t="shared" si="21"/>
        <v>1</v>
      </c>
    </row>
    <row r="246" spans="1:7" x14ac:dyDescent="0.35">
      <c r="A246" s="25" t="s">
        <v>500</v>
      </c>
      <c r="B246" s="25" t="s">
        <v>2426</v>
      </c>
      <c r="C246" s="25" t="str">
        <f t="shared" si="18"/>
        <v>Huyện Phúc Thọ - Hà Nội</v>
      </c>
      <c r="D246" s="25" t="s">
        <v>3139</v>
      </c>
      <c r="E246" s="25" t="s">
        <v>3145</v>
      </c>
      <c r="F246" s="23">
        <f t="shared" si="20"/>
        <v>1</v>
      </c>
      <c r="G246" s="23">
        <f t="shared" si="21"/>
        <v>1</v>
      </c>
    </row>
    <row r="247" spans="1:7" x14ac:dyDescent="0.35">
      <c r="A247" s="25" t="s">
        <v>500</v>
      </c>
      <c r="B247" s="26" t="s">
        <v>2434</v>
      </c>
      <c r="C247" s="25" t="str">
        <f t="shared" si="18"/>
        <v>Huyện Quốc Oai - Hà Nội</v>
      </c>
      <c r="D247" s="25" t="s">
        <v>3139</v>
      </c>
      <c r="E247" s="25" t="s">
        <v>3145</v>
      </c>
      <c r="F247" s="23">
        <f t="shared" si="20"/>
        <v>1</v>
      </c>
      <c r="G247" s="23">
        <f t="shared" si="21"/>
        <v>1</v>
      </c>
    </row>
    <row r="248" spans="1:7" x14ac:dyDescent="0.35">
      <c r="A248" s="25" t="s">
        <v>500</v>
      </c>
      <c r="B248" s="25" t="s">
        <v>2427</v>
      </c>
      <c r="C248" s="25" t="str">
        <f t="shared" si="18"/>
        <v>Huyện Sóc Sơn - Hà Nội</v>
      </c>
      <c r="D248" s="25" t="s">
        <v>3139</v>
      </c>
      <c r="E248" s="25" t="s">
        <v>3145</v>
      </c>
      <c r="F248" s="23">
        <f t="shared" si="20"/>
        <v>1</v>
      </c>
      <c r="G248" s="23">
        <f t="shared" si="21"/>
        <v>1</v>
      </c>
    </row>
    <row r="249" spans="1:7" x14ac:dyDescent="0.35">
      <c r="A249" s="25" t="s">
        <v>500</v>
      </c>
      <c r="B249" s="25" t="s">
        <v>2428</v>
      </c>
      <c r="C249" s="25" t="str">
        <f t="shared" si="18"/>
        <v>Huyện Thạch Thất - Hà Nội</v>
      </c>
      <c r="D249" s="25" t="s">
        <v>3139</v>
      </c>
      <c r="E249" s="25" t="s">
        <v>3145</v>
      </c>
      <c r="F249" s="23">
        <f t="shared" si="20"/>
        <v>1</v>
      </c>
      <c r="G249" s="23">
        <f t="shared" si="21"/>
        <v>1</v>
      </c>
    </row>
    <row r="250" spans="1:7" x14ac:dyDescent="0.35">
      <c r="A250" s="25" t="s">
        <v>500</v>
      </c>
      <c r="B250" s="25" t="s">
        <v>2429</v>
      </c>
      <c r="C250" s="25" t="str">
        <f t="shared" si="18"/>
        <v>Huyện Thanh Oai - Hà Nội</v>
      </c>
      <c r="D250" s="25" t="s">
        <v>3139</v>
      </c>
      <c r="E250" s="25" t="s">
        <v>3145</v>
      </c>
      <c r="F250" s="23">
        <f t="shared" si="20"/>
        <v>1</v>
      </c>
      <c r="G250" s="23">
        <f t="shared" si="21"/>
        <v>1</v>
      </c>
    </row>
    <row r="251" spans="1:7" x14ac:dyDescent="0.35">
      <c r="A251" s="25" t="s">
        <v>500</v>
      </c>
      <c r="B251" s="25" t="s">
        <v>2430</v>
      </c>
      <c r="C251" s="25" t="str">
        <f t="shared" si="18"/>
        <v>Huyện Thanh Trì - Hà Nội</v>
      </c>
      <c r="D251" s="25" t="s">
        <v>3139</v>
      </c>
      <c r="E251" s="25" t="s">
        <v>3145</v>
      </c>
      <c r="F251" s="23">
        <f t="shared" si="20"/>
        <v>1</v>
      </c>
      <c r="G251" s="23">
        <f t="shared" si="21"/>
        <v>1</v>
      </c>
    </row>
    <row r="252" spans="1:7" x14ac:dyDescent="0.35">
      <c r="A252" s="25" t="s">
        <v>500</v>
      </c>
      <c r="B252" s="25" t="s">
        <v>2436</v>
      </c>
      <c r="C252" s="25" t="str">
        <f t="shared" si="18"/>
        <v>Huyện Thường Tín - Hà Nội</v>
      </c>
      <c r="D252" s="25" t="s">
        <v>3139</v>
      </c>
      <c r="E252" s="25" t="s">
        <v>3145</v>
      </c>
      <c r="F252" s="23">
        <f t="shared" si="20"/>
        <v>1</v>
      </c>
      <c r="G252" s="23">
        <f t="shared" si="21"/>
        <v>1</v>
      </c>
    </row>
    <row r="253" spans="1:7" x14ac:dyDescent="0.35">
      <c r="A253" s="25" t="s">
        <v>500</v>
      </c>
      <c r="B253" s="25" t="s">
        <v>2431</v>
      </c>
      <c r="C253" s="25" t="str">
        <f t="shared" si="18"/>
        <v>Huyện Ứng Hòa - Hà Nội</v>
      </c>
      <c r="D253" s="25" t="s">
        <v>3139</v>
      </c>
      <c r="E253" s="25" t="s">
        <v>3145</v>
      </c>
      <c r="F253" s="23">
        <f t="shared" si="20"/>
        <v>1</v>
      </c>
      <c r="G253" s="23">
        <f t="shared" si="21"/>
        <v>1</v>
      </c>
    </row>
    <row r="254" spans="1:7" x14ac:dyDescent="0.35">
      <c r="A254" s="25" t="s">
        <v>500</v>
      </c>
      <c r="B254" s="25" t="s">
        <v>2406</v>
      </c>
      <c r="C254" s="25" t="str">
        <f t="shared" si="18"/>
        <v>Quận Ba Đình - Hà Nội</v>
      </c>
      <c r="D254" s="25" t="s">
        <v>3142</v>
      </c>
      <c r="E254" s="25" t="s">
        <v>3145</v>
      </c>
      <c r="F254" s="23">
        <f t="shared" si="20"/>
        <v>1</v>
      </c>
      <c r="G254" s="23">
        <f t="shared" si="21"/>
        <v>1</v>
      </c>
    </row>
    <row r="255" spans="1:7" x14ac:dyDescent="0.35">
      <c r="A255" s="25" t="s">
        <v>500</v>
      </c>
      <c r="B255" s="26" t="s">
        <v>2416</v>
      </c>
      <c r="C255" s="25" t="str">
        <f t="shared" si="18"/>
        <v>Quận Từ Liêm - Hà Nội</v>
      </c>
      <c r="D255" s="25" t="s">
        <v>3141</v>
      </c>
      <c r="E255" s="25" t="s">
        <v>3145</v>
      </c>
      <c r="F255" s="23">
        <f t="shared" si="20"/>
        <v>1</v>
      </c>
      <c r="G255" s="23">
        <f t="shared" si="21"/>
        <v>1</v>
      </c>
    </row>
    <row r="256" spans="1:7" x14ac:dyDescent="0.35">
      <c r="A256" s="25" t="s">
        <v>500</v>
      </c>
      <c r="B256" s="25" t="s">
        <v>2407</v>
      </c>
      <c r="C256" s="25" t="str">
        <f t="shared" si="18"/>
        <v>Quận Cầu Giấy - Hà Nội</v>
      </c>
      <c r="D256" s="25" t="s">
        <v>3142</v>
      </c>
      <c r="E256" s="25" t="s">
        <v>3145</v>
      </c>
      <c r="F256" s="23">
        <f t="shared" si="20"/>
        <v>1</v>
      </c>
      <c r="G256" s="23">
        <f t="shared" si="21"/>
        <v>1</v>
      </c>
    </row>
    <row r="257" spans="1:7" x14ac:dyDescent="0.35">
      <c r="A257" s="25" t="s">
        <v>500</v>
      </c>
      <c r="B257" s="25" t="s">
        <v>2408</v>
      </c>
      <c r="C257" s="25" t="str">
        <f t="shared" si="18"/>
        <v>Quận Đống Đa - Hà Nội</v>
      </c>
      <c r="D257" s="25" t="s">
        <v>3142</v>
      </c>
      <c r="E257" s="25" t="s">
        <v>3145</v>
      </c>
      <c r="F257" s="23">
        <f t="shared" si="20"/>
        <v>1</v>
      </c>
      <c r="G257" s="23">
        <f t="shared" si="21"/>
        <v>1</v>
      </c>
    </row>
    <row r="258" spans="1:7" x14ac:dyDescent="0.35">
      <c r="A258" s="25" t="s">
        <v>500</v>
      </c>
      <c r="B258" s="25" t="s">
        <v>2409</v>
      </c>
      <c r="C258" s="25" t="str">
        <f t="shared" si="18"/>
        <v>Quận Hà Đông - Hà Nội</v>
      </c>
      <c r="D258" s="25" t="s">
        <v>3141</v>
      </c>
      <c r="E258" s="25" t="s">
        <v>3145</v>
      </c>
      <c r="F258" s="23">
        <f t="shared" si="20"/>
        <v>1</v>
      </c>
      <c r="G258" s="23">
        <f t="shared" si="21"/>
        <v>1</v>
      </c>
    </row>
    <row r="259" spans="1:7" x14ac:dyDescent="0.35">
      <c r="A259" s="25" t="s">
        <v>500</v>
      </c>
      <c r="B259" s="25" t="s">
        <v>2410</v>
      </c>
      <c r="C259" s="25" t="str">
        <f t="shared" si="18"/>
        <v>Quận Hai Bà Trưng - Hà Nội</v>
      </c>
      <c r="D259" s="25" t="s">
        <v>3142</v>
      </c>
      <c r="E259" s="25" t="s">
        <v>3145</v>
      </c>
      <c r="F259" s="23">
        <f t="shared" si="20"/>
        <v>1</v>
      </c>
      <c r="G259" s="23">
        <f t="shared" si="21"/>
        <v>1</v>
      </c>
    </row>
    <row r="260" spans="1:7" x14ac:dyDescent="0.35">
      <c r="A260" s="25" t="s">
        <v>500</v>
      </c>
      <c r="B260" s="25" t="s">
        <v>2411</v>
      </c>
      <c r="C260" s="25" t="str">
        <f t="shared" si="18"/>
        <v>Quận Hoàn Kiếm - Hà Nội</v>
      </c>
      <c r="D260" s="25" t="s">
        <v>3142</v>
      </c>
      <c r="E260" s="25" t="s">
        <v>3145</v>
      </c>
      <c r="F260" s="23">
        <f t="shared" si="20"/>
        <v>1</v>
      </c>
      <c r="G260" s="23">
        <f t="shared" si="21"/>
        <v>1</v>
      </c>
    </row>
    <row r="261" spans="1:7" x14ac:dyDescent="0.35">
      <c r="A261" s="25" t="s">
        <v>500</v>
      </c>
      <c r="B261" s="25" t="s">
        <v>2412</v>
      </c>
      <c r="C261" s="25" t="str">
        <f t="shared" si="18"/>
        <v>Quận Hoàng Mai - Hà Nội</v>
      </c>
      <c r="D261" s="25" t="s">
        <v>3142</v>
      </c>
      <c r="E261" s="25" t="s">
        <v>3145</v>
      </c>
      <c r="F261" s="23">
        <f t="shared" si="20"/>
        <v>1</v>
      </c>
      <c r="G261" s="23">
        <f t="shared" si="21"/>
        <v>1</v>
      </c>
    </row>
    <row r="262" spans="1:7" x14ac:dyDescent="0.35">
      <c r="A262" s="25" t="s">
        <v>500</v>
      </c>
      <c r="B262" s="25" t="s">
        <v>2413</v>
      </c>
      <c r="C262" s="25" t="str">
        <f t="shared" si="18"/>
        <v>Quận Long Biên - Hà Nội</v>
      </c>
      <c r="D262" s="25" t="s">
        <v>3141</v>
      </c>
      <c r="E262" s="25" t="s">
        <v>3145</v>
      </c>
      <c r="F262" s="23">
        <f t="shared" si="20"/>
        <v>1</v>
      </c>
      <c r="G262" s="23">
        <f t="shared" si="21"/>
        <v>1</v>
      </c>
    </row>
    <row r="263" spans="1:7" x14ac:dyDescent="0.35">
      <c r="A263" s="25" t="s">
        <v>500</v>
      </c>
      <c r="B263" s="25" t="s">
        <v>2414</v>
      </c>
      <c r="C263" s="25" t="str">
        <f t="shared" ref="C263:C325" si="22">B263&amp;" - "&amp;A263</f>
        <v>Quận Tây Hồ - Hà Nội</v>
      </c>
      <c r="D263" s="25" t="s">
        <v>3142</v>
      </c>
      <c r="E263" s="25" t="s">
        <v>3145</v>
      </c>
      <c r="F263" s="23">
        <f t="shared" si="20"/>
        <v>1</v>
      </c>
      <c r="G263" s="23">
        <f t="shared" si="21"/>
        <v>1</v>
      </c>
    </row>
    <row r="264" spans="1:7" x14ac:dyDescent="0.35">
      <c r="A264" s="25" t="s">
        <v>500</v>
      </c>
      <c r="B264" s="25" t="s">
        <v>2415</v>
      </c>
      <c r="C264" s="25" t="str">
        <f t="shared" si="22"/>
        <v>Quận Thanh Xuân - Hà Nội</v>
      </c>
      <c r="D264" s="25" t="s">
        <v>3142</v>
      </c>
      <c r="E264" s="25" t="s">
        <v>3145</v>
      </c>
      <c r="F264" s="23">
        <f t="shared" si="20"/>
        <v>1</v>
      </c>
      <c r="G264" s="23">
        <f t="shared" si="21"/>
        <v>1</v>
      </c>
    </row>
    <row r="265" spans="1:7" x14ac:dyDescent="0.35">
      <c r="A265" s="25" t="s">
        <v>500</v>
      </c>
      <c r="B265" s="25" t="s">
        <v>2432</v>
      </c>
      <c r="C265" s="25" t="str">
        <f t="shared" si="22"/>
        <v>Thị xã Sơn Tây - Hà Nội</v>
      </c>
      <c r="D265" s="25" t="s">
        <v>3139</v>
      </c>
      <c r="E265" s="25" t="s">
        <v>3145</v>
      </c>
      <c r="F265" s="23">
        <f t="shared" si="20"/>
        <v>1</v>
      </c>
      <c r="G265" s="23">
        <f t="shared" si="21"/>
        <v>1</v>
      </c>
    </row>
    <row r="266" spans="1:7" x14ac:dyDescent="0.35">
      <c r="A266" s="25" t="s">
        <v>535</v>
      </c>
      <c r="B266" s="25" t="s">
        <v>2801</v>
      </c>
      <c r="C266" s="25" t="str">
        <f t="shared" si="22"/>
        <v>Huyện Cẩm Xuyên - Hà Tĩnh</v>
      </c>
      <c r="D266" s="25" t="s">
        <v>3141</v>
      </c>
      <c r="E266" s="25" t="s">
        <v>3145</v>
      </c>
      <c r="F266" s="23">
        <f t="shared" ref="F266:F329" si="23">COUNTIF($B:$B,B266)</f>
        <v>1</v>
      </c>
      <c r="G266" s="23">
        <f t="shared" ref="G266:G329" si="24">COUNTIF($C:$C,C266)</f>
        <v>1</v>
      </c>
    </row>
    <row r="267" spans="1:7" x14ac:dyDescent="0.35">
      <c r="A267" s="25" t="s">
        <v>535</v>
      </c>
      <c r="B267" s="25" t="s">
        <v>2897</v>
      </c>
      <c r="C267" s="25" t="str">
        <f t="shared" si="22"/>
        <v>Huyện Can Lộc - Hà Tĩnh</v>
      </c>
      <c r="D267" s="25" t="s">
        <v>3141</v>
      </c>
      <c r="E267" s="25" t="s">
        <v>3145</v>
      </c>
      <c r="F267" s="23">
        <f t="shared" si="23"/>
        <v>1</v>
      </c>
      <c r="G267" s="23">
        <f t="shared" si="24"/>
        <v>1</v>
      </c>
    </row>
    <row r="268" spans="1:7" x14ac:dyDescent="0.35">
      <c r="A268" s="25" t="s">
        <v>535</v>
      </c>
      <c r="B268" s="25" t="s">
        <v>3038</v>
      </c>
      <c r="C268" s="25" t="str">
        <f t="shared" si="22"/>
        <v>Huyện Đức Thọ - Hà Tĩnh</v>
      </c>
      <c r="D268" s="25" t="s">
        <v>3139</v>
      </c>
      <c r="E268" s="25" t="s">
        <v>3145</v>
      </c>
      <c r="F268" s="23">
        <f t="shared" si="23"/>
        <v>1</v>
      </c>
      <c r="G268" s="23">
        <f t="shared" si="24"/>
        <v>1</v>
      </c>
    </row>
    <row r="269" spans="1:7" x14ac:dyDescent="0.35">
      <c r="A269" s="25" t="s">
        <v>535</v>
      </c>
      <c r="B269" s="25" t="s">
        <v>2805</v>
      </c>
      <c r="C269" s="25" t="str">
        <f t="shared" si="22"/>
        <v>Huyện Hương Khê - Hà Tĩnh</v>
      </c>
      <c r="D269" s="25" t="s">
        <v>3139</v>
      </c>
      <c r="E269" s="25" t="s">
        <v>3145</v>
      </c>
      <c r="F269" s="23">
        <f t="shared" si="23"/>
        <v>1</v>
      </c>
      <c r="G269" s="23">
        <f t="shared" si="24"/>
        <v>1</v>
      </c>
    </row>
    <row r="270" spans="1:7" x14ac:dyDescent="0.35">
      <c r="A270" s="25" t="s">
        <v>535</v>
      </c>
      <c r="B270" s="25" t="s">
        <v>3054</v>
      </c>
      <c r="C270" s="25" t="str">
        <f t="shared" si="22"/>
        <v>Huyện Hương Sơn - Hà Tĩnh</v>
      </c>
      <c r="D270" s="25" t="s">
        <v>3139</v>
      </c>
      <c r="E270" s="25" t="s">
        <v>3145</v>
      </c>
      <c r="F270" s="23">
        <f t="shared" si="23"/>
        <v>1</v>
      </c>
      <c r="G270" s="23">
        <f t="shared" si="24"/>
        <v>1</v>
      </c>
    </row>
    <row r="271" spans="1:7" x14ac:dyDescent="0.35">
      <c r="A271" s="25" t="s">
        <v>535</v>
      </c>
      <c r="B271" s="25" t="s">
        <v>2802</v>
      </c>
      <c r="C271" s="25" t="str">
        <f t="shared" si="22"/>
        <v>Huyện Kỳ Anh - Hà Tĩnh</v>
      </c>
      <c r="D271" s="25" t="s">
        <v>3139</v>
      </c>
      <c r="E271" s="25" t="s">
        <v>3145</v>
      </c>
      <c r="F271" s="23">
        <f t="shared" si="23"/>
        <v>1</v>
      </c>
      <c r="G271" s="23">
        <f t="shared" si="24"/>
        <v>1</v>
      </c>
    </row>
    <row r="272" spans="1:7" x14ac:dyDescent="0.35">
      <c r="A272" s="25" t="s">
        <v>535</v>
      </c>
      <c r="B272" s="25" t="s">
        <v>2898</v>
      </c>
      <c r="C272" s="25" t="str">
        <f t="shared" si="22"/>
        <v>Huyện Lộc Hà - Hà Tĩnh</v>
      </c>
      <c r="D272" s="25" t="s">
        <v>3141</v>
      </c>
      <c r="E272" s="25" t="s">
        <v>3145</v>
      </c>
      <c r="F272" s="23">
        <f t="shared" si="23"/>
        <v>1</v>
      </c>
      <c r="G272" s="23">
        <f t="shared" si="24"/>
        <v>1</v>
      </c>
    </row>
    <row r="273" spans="1:7" x14ac:dyDescent="0.35">
      <c r="A273" s="25" t="s">
        <v>535</v>
      </c>
      <c r="B273" s="25" t="s">
        <v>2803</v>
      </c>
      <c r="C273" s="25" t="str">
        <f t="shared" si="22"/>
        <v>Huyện Nghi Xuân - Hà Tĩnh</v>
      </c>
      <c r="D273" s="25" t="s">
        <v>3139</v>
      </c>
      <c r="E273" s="25" t="s">
        <v>3145</v>
      </c>
      <c r="F273" s="23">
        <f t="shared" si="23"/>
        <v>1</v>
      </c>
      <c r="G273" s="23">
        <f t="shared" si="24"/>
        <v>1</v>
      </c>
    </row>
    <row r="274" spans="1:7" x14ac:dyDescent="0.35">
      <c r="A274" s="25" t="s">
        <v>535</v>
      </c>
      <c r="B274" s="25" t="s">
        <v>2886</v>
      </c>
      <c r="C274" s="25" t="str">
        <f t="shared" si="22"/>
        <v>Huyện Thạch Hà - Hà Tĩnh</v>
      </c>
      <c r="D274" s="25" t="s">
        <v>3141</v>
      </c>
      <c r="E274" s="25" t="s">
        <v>3145</v>
      </c>
      <c r="F274" s="23">
        <f t="shared" si="23"/>
        <v>1</v>
      </c>
      <c r="G274" s="23">
        <f t="shared" si="24"/>
        <v>1</v>
      </c>
    </row>
    <row r="275" spans="1:7" x14ac:dyDescent="0.35">
      <c r="A275" s="25" t="s">
        <v>535</v>
      </c>
      <c r="B275" s="25" t="s">
        <v>3069</v>
      </c>
      <c r="C275" s="25" t="str">
        <f t="shared" si="22"/>
        <v>Huyện Vũ Quang - Hà Tĩnh</v>
      </c>
      <c r="D275" s="25" t="s">
        <v>3139</v>
      </c>
      <c r="E275" s="25" t="s">
        <v>3145</v>
      </c>
      <c r="F275" s="23">
        <f t="shared" si="23"/>
        <v>1</v>
      </c>
      <c r="G275" s="23">
        <f t="shared" si="24"/>
        <v>1</v>
      </c>
    </row>
    <row r="276" spans="1:7" x14ac:dyDescent="0.35">
      <c r="A276" s="25" t="s">
        <v>535</v>
      </c>
      <c r="B276" s="25" t="s">
        <v>2800</v>
      </c>
      <c r="C276" s="25" t="str">
        <f t="shared" si="22"/>
        <v>Thành phố Hà Tĩnh - Hà Tĩnh</v>
      </c>
      <c r="D276" s="25" t="s">
        <v>3142</v>
      </c>
      <c r="E276" s="25" t="s">
        <v>3145</v>
      </c>
      <c r="F276" s="23">
        <f t="shared" si="23"/>
        <v>1</v>
      </c>
      <c r="G276" s="23">
        <f t="shared" si="24"/>
        <v>1</v>
      </c>
    </row>
    <row r="277" spans="1:7" x14ac:dyDescent="0.35">
      <c r="A277" s="25" t="s">
        <v>535</v>
      </c>
      <c r="B277" s="25" t="s">
        <v>3160</v>
      </c>
      <c r="C277" s="25" t="str">
        <f t="shared" si="22"/>
        <v>Thị xã Hồng Lĩnh - Hà Tĩnh</v>
      </c>
      <c r="D277" s="25" t="s">
        <v>3141</v>
      </c>
      <c r="E277" s="25" t="s">
        <v>3145</v>
      </c>
      <c r="F277" s="23">
        <f t="shared" si="23"/>
        <v>1</v>
      </c>
      <c r="G277" s="23">
        <f t="shared" si="24"/>
        <v>1</v>
      </c>
    </row>
    <row r="278" spans="1:7" x14ac:dyDescent="0.35">
      <c r="A278" s="25" t="s">
        <v>535</v>
      </c>
      <c r="B278" s="25" t="s">
        <v>3052</v>
      </c>
      <c r="C278" s="25" t="str">
        <f t="shared" si="22"/>
        <v>Thị xã Kỳ Anh - Hà Tĩnh</v>
      </c>
      <c r="D278" s="25" t="s">
        <v>3139</v>
      </c>
      <c r="E278" s="25" t="s">
        <v>3145</v>
      </c>
      <c r="F278" s="23">
        <f t="shared" si="23"/>
        <v>1</v>
      </c>
      <c r="G278" s="23">
        <f t="shared" si="24"/>
        <v>1</v>
      </c>
    </row>
    <row r="279" spans="1:7" x14ac:dyDescent="0.35">
      <c r="A279" s="25" t="s">
        <v>518</v>
      </c>
      <c r="B279" s="25" t="s">
        <v>2837</v>
      </c>
      <c r="C279" s="25" t="str">
        <f t="shared" si="22"/>
        <v>Huyện Bình Giang - Hải Dương</v>
      </c>
      <c r="D279" s="25" t="s">
        <v>3141</v>
      </c>
      <c r="E279" s="25" t="s">
        <v>3145</v>
      </c>
      <c r="F279" s="23">
        <f t="shared" si="23"/>
        <v>1</v>
      </c>
      <c r="G279" s="23">
        <f t="shared" si="24"/>
        <v>1</v>
      </c>
    </row>
    <row r="280" spans="1:7" x14ac:dyDescent="0.35">
      <c r="A280" s="25" t="s">
        <v>518</v>
      </c>
      <c r="B280" s="25" t="s">
        <v>2839</v>
      </c>
      <c r="C280" s="25" t="str">
        <f t="shared" si="22"/>
        <v>Huyện Cẩm Giàng - Hải Dương</v>
      </c>
      <c r="D280" s="25" t="s">
        <v>3141</v>
      </c>
      <c r="E280" s="25" t="s">
        <v>3145</v>
      </c>
      <c r="F280" s="23">
        <f t="shared" si="23"/>
        <v>1</v>
      </c>
      <c r="G280" s="23">
        <f t="shared" si="24"/>
        <v>1</v>
      </c>
    </row>
    <row r="281" spans="1:7" x14ac:dyDescent="0.35">
      <c r="A281" s="25" t="s">
        <v>518</v>
      </c>
      <c r="B281" s="25" t="s">
        <v>2873</v>
      </c>
      <c r="C281" s="25" t="str">
        <f t="shared" si="22"/>
        <v>Huyện Gia Lộc - Hải Dương</v>
      </c>
      <c r="D281" s="25" t="s">
        <v>3141</v>
      </c>
      <c r="E281" s="25" t="s">
        <v>3145</v>
      </c>
      <c r="F281" s="23">
        <f t="shared" si="23"/>
        <v>1</v>
      </c>
      <c r="G281" s="23">
        <f t="shared" si="24"/>
        <v>1</v>
      </c>
    </row>
    <row r="282" spans="1:7" x14ac:dyDescent="0.35">
      <c r="A282" s="25" t="s">
        <v>518</v>
      </c>
      <c r="B282" s="25" t="s">
        <v>2970</v>
      </c>
      <c r="C282" s="25" t="str">
        <f t="shared" si="22"/>
        <v>Huyện Kim Thành - Hải Dương</v>
      </c>
      <c r="D282" s="25" t="s">
        <v>3141</v>
      </c>
      <c r="E282" s="25" t="s">
        <v>3145</v>
      </c>
      <c r="F282" s="23">
        <f t="shared" si="23"/>
        <v>1</v>
      </c>
      <c r="G282" s="23">
        <f t="shared" si="24"/>
        <v>1</v>
      </c>
    </row>
    <row r="283" spans="1:7" x14ac:dyDescent="0.35">
      <c r="A283" s="25" t="s">
        <v>518</v>
      </c>
      <c r="B283" s="25" t="s">
        <v>2921</v>
      </c>
      <c r="C283" s="25" t="str">
        <f t="shared" si="22"/>
        <v>Huyện Kinh Môn - Hải Dương</v>
      </c>
      <c r="D283" s="25" t="s">
        <v>3139</v>
      </c>
      <c r="E283" s="25" t="s">
        <v>3145</v>
      </c>
      <c r="F283" s="23">
        <f t="shared" si="23"/>
        <v>1</v>
      </c>
      <c r="G283" s="23">
        <f t="shared" si="24"/>
        <v>1</v>
      </c>
    </row>
    <row r="284" spans="1:7" x14ac:dyDescent="0.35">
      <c r="A284" s="25" t="s">
        <v>518</v>
      </c>
      <c r="B284" s="25" t="s">
        <v>2845</v>
      </c>
      <c r="C284" s="25" t="str">
        <f t="shared" si="22"/>
        <v>Huyện Nam Sách - Hải Dương</v>
      </c>
      <c r="D284" s="25" t="s">
        <v>3141</v>
      </c>
      <c r="E284" s="25" t="s">
        <v>3145</v>
      </c>
      <c r="F284" s="23">
        <f t="shared" si="23"/>
        <v>1</v>
      </c>
      <c r="G284" s="23">
        <f t="shared" si="24"/>
        <v>1</v>
      </c>
    </row>
    <row r="285" spans="1:7" x14ac:dyDescent="0.35">
      <c r="A285" s="25" t="s">
        <v>518</v>
      </c>
      <c r="B285" s="25" t="s">
        <v>2899</v>
      </c>
      <c r="C285" s="25" t="str">
        <f t="shared" si="22"/>
        <v>Huyện Ninh Giang - Hải Dương</v>
      </c>
      <c r="D285" s="25" t="s">
        <v>3141</v>
      </c>
      <c r="E285" s="25" t="s">
        <v>3145</v>
      </c>
      <c r="F285" s="23">
        <f t="shared" si="23"/>
        <v>1</v>
      </c>
      <c r="G285" s="23">
        <f t="shared" si="24"/>
        <v>1</v>
      </c>
    </row>
    <row r="286" spans="1:7" x14ac:dyDescent="0.35">
      <c r="A286" s="25" t="s">
        <v>518</v>
      </c>
      <c r="B286" s="25" t="s">
        <v>2901</v>
      </c>
      <c r="C286" s="25" t="str">
        <f t="shared" si="22"/>
        <v>Huyện Thanh Hà - Hải Dương</v>
      </c>
      <c r="D286" s="25" t="s">
        <v>3141</v>
      </c>
      <c r="E286" s="25" t="s">
        <v>3145</v>
      </c>
      <c r="F286" s="23">
        <f t="shared" si="23"/>
        <v>1</v>
      </c>
      <c r="G286" s="23">
        <f t="shared" si="24"/>
        <v>1</v>
      </c>
    </row>
    <row r="287" spans="1:7" x14ac:dyDescent="0.35">
      <c r="A287" s="25" t="s">
        <v>518</v>
      </c>
      <c r="B287" s="25" t="s">
        <v>2900</v>
      </c>
      <c r="C287" s="25" t="str">
        <f t="shared" si="22"/>
        <v>Huyện Thanh Miện - Hải Dương</v>
      </c>
      <c r="D287" s="25" t="s">
        <v>3141</v>
      </c>
      <c r="E287" s="25" t="s">
        <v>3145</v>
      </c>
      <c r="F287" s="23">
        <f t="shared" si="23"/>
        <v>1</v>
      </c>
      <c r="G287" s="23">
        <f t="shared" si="24"/>
        <v>1</v>
      </c>
    </row>
    <row r="288" spans="1:7" x14ac:dyDescent="0.35">
      <c r="A288" s="25" t="s">
        <v>518</v>
      </c>
      <c r="B288" s="25" t="s">
        <v>2905</v>
      </c>
      <c r="C288" s="25" t="str">
        <f t="shared" si="22"/>
        <v>Huyện Tứ Kỳ - Hải Dương</v>
      </c>
      <c r="D288" s="25" t="s">
        <v>3141</v>
      </c>
      <c r="E288" s="25" t="s">
        <v>3145</v>
      </c>
      <c r="F288" s="23">
        <f t="shared" si="23"/>
        <v>1</v>
      </c>
      <c r="G288" s="23">
        <f t="shared" si="24"/>
        <v>1</v>
      </c>
    </row>
    <row r="289" spans="1:7" x14ac:dyDescent="0.35">
      <c r="A289" s="25" t="s">
        <v>518</v>
      </c>
      <c r="B289" s="25" t="s">
        <v>2818</v>
      </c>
      <c r="C289" s="25" t="str">
        <f t="shared" si="22"/>
        <v>Thành phố Hải Dương - Hải Dương</v>
      </c>
      <c r="D289" s="25" t="s">
        <v>3142</v>
      </c>
      <c r="E289" s="25" t="s">
        <v>3145</v>
      </c>
      <c r="F289" s="23">
        <f t="shared" si="23"/>
        <v>1</v>
      </c>
      <c r="G289" s="23">
        <f t="shared" si="24"/>
        <v>1</v>
      </c>
    </row>
    <row r="290" spans="1:7" x14ac:dyDescent="0.35">
      <c r="A290" s="25" t="s">
        <v>518</v>
      </c>
      <c r="B290" s="25" t="s">
        <v>2973</v>
      </c>
      <c r="C290" s="25" t="str">
        <f t="shared" si="22"/>
        <v>Thị xã Chí Linh - Hải Dương</v>
      </c>
      <c r="D290" s="25" t="s">
        <v>3139</v>
      </c>
      <c r="E290" s="25" t="s">
        <v>3145</v>
      </c>
      <c r="F290" s="23">
        <f t="shared" si="23"/>
        <v>1</v>
      </c>
      <c r="G290" s="23">
        <f t="shared" si="24"/>
        <v>1</v>
      </c>
    </row>
    <row r="291" spans="1:7" x14ac:dyDescent="0.35">
      <c r="A291" s="25" t="s">
        <v>508</v>
      </c>
      <c r="B291" s="25" t="s">
        <v>2835</v>
      </c>
      <c r="C291" s="25" t="str">
        <f t="shared" si="22"/>
        <v>Huyện An Dương - Hải Phòng</v>
      </c>
      <c r="D291" s="25" t="s">
        <v>3141</v>
      </c>
      <c r="E291" s="25" t="s">
        <v>3145</v>
      </c>
      <c r="F291" s="23">
        <f t="shared" si="23"/>
        <v>1</v>
      </c>
      <c r="G291" s="23">
        <f t="shared" si="24"/>
        <v>1</v>
      </c>
    </row>
    <row r="292" spans="1:7" x14ac:dyDescent="0.35">
      <c r="A292" s="25" t="s">
        <v>508</v>
      </c>
      <c r="B292" s="25" t="s">
        <v>2642</v>
      </c>
      <c r="C292" s="25" t="str">
        <f t="shared" si="22"/>
        <v>Huyện An Lão - Hải Phòng</v>
      </c>
      <c r="D292" s="25" t="s">
        <v>3141</v>
      </c>
      <c r="E292" s="25" t="s">
        <v>3145</v>
      </c>
      <c r="F292" s="23">
        <f t="shared" si="23"/>
        <v>2</v>
      </c>
      <c r="G292" s="23">
        <f t="shared" si="24"/>
        <v>1</v>
      </c>
    </row>
    <row r="293" spans="1:7" x14ac:dyDescent="0.35">
      <c r="A293" s="25" t="s">
        <v>508</v>
      </c>
      <c r="B293" s="25" t="s">
        <v>3161</v>
      </c>
      <c r="C293" s="25" t="str">
        <f t="shared" si="22"/>
        <v>Huyện Bạch Long Vĩ - Hải Phòng</v>
      </c>
      <c r="D293" s="25" t="s">
        <v>3139</v>
      </c>
      <c r="E293" s="25" t="s">
        <v>3145</v>
      </c>
      <c r="F293" s="23">
        <f t="shared" si="23"/>
        <v>1</v>
      </c>
      <c r="G293" s="23">
        <f t="shared" si="24"/>
        <v>1</v>
      </c>
    </row>
    <row r="294" spans="1:7" x14ac:dyDescent="0.35">
      <c r="A294" s="25" t="s">
        <v>508</v>
      </c>
      <c r="B294" s="26" t="s">
        <v>3092</v>
      </c>
      <c r="C294" s="25" t="str">
        <f t="shared" si="22"/>
        <v>Huyện đảo Cát Hải - Hải Phòng</v>
      </c>
      <c r="D294" s="25" t="s">
        <v>3139</v>
      </c>
      <c r="E294" s="25" t="s">
        <v>3145</v>
      </c>
      <c r="F294" s="23">
        <f t="shared" si="23"/>
        <v>1</v>
      </c>
      <c r="G294" s="23">
        <f t="shared" si="24"/>
        <v>1</v>
      </c>
    </row>
    <row r="295" spans="1:7" x14ac:dyDescent="0.35">
      <c r="A295" s="25" t="s">
        <v>508</v>
      </c>
      <c r="B295" s="26" t="s">
        <v>2903</v>
      </c>
      <c r="C295" s="25" t="str">
        <f t="shared" si="22"/>
        <v>Huyện Kiến Thụy - Hải Phòng</v>
      </c>
      <c r="D295" s="25" t="s">
        <v>3141</v>
      </c>
      <c r="E295" s="25" t="s">
        <v>3145</v>
      </c>
      <c r="F295" s="23">
        <f t="shared" si="23"/>
        <v>1</v>
      </c>
      <c r="G295" s="23">
        <f t="shared" si="24"/>
        <v>1</v>
      </c>
    </row>
    <row r="296" spans="1:7" x14ac:dyDescent="0.35">
      <c r="A296" s="25" t="s">
        <v>508</v>
      </c>
      <c r="B296" s="26" t="s">
        <v>2849</v>
      </c>
      <c r="C296" s="25" t="str">
        <f t="shared" si="22"/>
        <v>Huyện Thủy Nguyên - Hải Phòng</v>
      </c>
      <c r="D296" s="25" t="s">
        <v>3141</v>
      </c>
      <c r="E296" s="25" t="s">
        <v>3145</v>
      </c>
      <c r="F296" s="23">
        <f t="shared" si="23"/>
        <v>1</v>
      </c>
      <c r="G296" s="23">
        <f t="shared" si="24"/>
        <v>1</v>
      </c>
    </row>
    <row r="297" spans="1:7" x14ac:dyDescent="0.35">
      <c r="A297" s="25" t="s">
        <v>508</v>
      </c>
      <c r="B297" s="25" t="s">
        <v>2934</v>
      </c>
      <c r="C297" s="25" t="str">
        <f t="shared" si="22"/>
        <v>Huyện Tiên Lãng - Hải Phòng</v>
      </c>
      <c r="D297" s="25" t="s">
        <v>3141</v>
      </c>
      <c r="E297" s="25" t="s">
        <v>3145</v>
      </c>
      <c r="F297" s="23">
        <f t="shared" si="23"/>
        <v>1</v>
      </c>
      <c r="G297" s="23">
        <f t="shared" si="24"/>
        <v>1</v>
      </c>
    </row>
    <row r="298" spans="1:7" x14ac:dyDescent="0.35">
      <c r="A298" s="25" t="s">
        <v>508</v>
      </c>
      <c r="B298" s="25" t="s">
        <v>2936</v>
      </c>
      <c r="C298" s="25" t="str">
        <f t="shared" si="22"/>
        <v>Huyện Vĩnh Bảo - Hải Phòng</v>
      </c>
      <c r="D298" s="25" t="s">
        <v>3139</v>
      </c>
      <c r="E298" s="25" t="s">
        <v>3145</v>
      </c>
      <c r="F298" s="23">
        <f t="shared" si="23"/>
        <v>1</v>
      </c>
      <c r="G298" s="23">
        <f t="shared" si="24"/>
        <v>1</v>
      </c>
    </row>
    <row r="299" spans="1:7" x14ac:dyDescent="0.35">
      <c r="A299" s="25" t="s">
        <v>508</v>
      </c>
      <c r="B299" s="25" t="s">
        <v>2942</v>
      </c>
      <c r="C299" s="25" t="str">
        <f t="shared" si="22"/>
        <v>Quận Đồ Sơn - Hải Phòng</v>
      </c>
      <c r="D299" s="25" t="s">
        <v>3141</v>
      </c>
      <c r="E299" s="25" t="s">
        <v>3145</v>
      </c>
      <c r="F299" s="23">
        <f t="shared" si="23"/>
        <v>1</v>
      </c>
      <c r="G299" s="23">
        <f t="shared" si="24"/>
        <v>1</v>
      </c>
    </row>
    <row r="300" spans="1:7" x14ac:dyDescent="0.35">
      <c r="A300" s="25" t="s">
        <v>508</v>
      </c>
      <c r="B300" s="25" t="s">
        <v>2859</v>
      </c>
      <c r="C300" s="25" t="str">
        <f t="shared" si="22"/>
        <v>Quận Dương Kinh - Hải Phòng</v>
      </c>
      <c r="D300" s="25" t="s">
        <v>3141</v>
      </c>
      <c r="E300" s="25" t="s">
        <v>3145</v>
      </c>
      <c r="F300" s="23">
        <f t="shared" si="23"/>
        <v>1</v>
      </c>
      <c r="G300" s="23">
        <f t="shared" si="24"/>
        <v>1</v>
      </c>
    </row>
    <row r="301" spans="1:7" x14ac:dyDescent="0.35">
      <c r="A301" s="25" t="s">
        <v>508</v>
      </c>
      <c r="B301" s="25" t="s">
        <v>2806</v>
      </c>
      <c r="C301" s="25" t="str">
        <f t="shared" si="22"/>
        <v>Quận Hải An - Hải Phòng</v>
      </c>
      <c r="D301" s="25" t="s">
        <v>3141</v>
      </c>
      <c r="E301" s="25" t="s">
        <v>3145</v>
      </c>
      <c r="F301" s="23">
        <f t="shared" si="23"/>
        <v>1</v>
      </c>
      <c r="G301" s="23">
        <f t="shared" si="24"/>
        <v>1</v>
      </c>
    </row>
    <row r="302" spans="1:7" x14ac:dyDescent="0.35">
      <c r="A302" s="25" t="s">
        <v>508</v>
      </c>
      <c r="B302" s="25" t="s">
        <v>2807</v>
      </c>
      <c r="C302" s="25" t="str">
        <f t="shared" si="22"/>
        <v>Quận Hồng Bàng - Hải Phòng</v>
      </c>
      <c r="D302" s="25" t="s">
        <v>3142</v>
      </c>
      <c r="E302" s="25" t="s">
        <v>3145</v>
      </c>
      <c r="F302" s="23">
        <f t="shared" si="23"/>
        <v>1</v>
      </c>
      <c r="G302" s="23">
        <f t="shared" si="24"/>
        <v>1</v>
      </c>
    </row>
    <row r="303" spans="1:7" x14ac:dyDescent="0.35">
      <c r="A303" s="25" t="s">
        <v>508</v>
      </c>
      <c r="B303" s="25" t="s">
        <v>2860</v>
      </c>
      <c r="C303" s="25" t="str">
        <f t="shared" si="22"/>
        <v>Quận Kiến An - Hải Phòng</v>
      </c>
      <c r="D303" s="25" t="s">
        <v>3141</v>
      </c>
      <c r="E303" s="25" t="s">
        <v>3145</v>
      </c>
      <c r="F303" s="23">
        <f t="shared" si="23"/>
        <v>1</v>
      </c>
      <c r="G303" s="23">
        <f t="shared" si="24"/>
        <v>1</v>
      </c>
    </row>
    <row r="304" spans="1:7" x14ac:dyDescent="0.35">
      <c r="A304" s="25" t="s">
        <v>508</v>
      </c>
      <c r="B304" s="25" t="s">
        <v>2808</v>
      </c>
      <c r="C304" s="25" t="str">
        <f t="shared" si="22"/>
        <v>Quận Lê Chân - Hải Phòng</v>
      </c>
      <c r="D304" s="25" t="s">
        <v>3142</v>
      </c>
      <c r="E304" s="25" t="s">
        <v>3145</v>
      </c>
      <c r="F304" s="23">
        <f t="shared" si="23"/>
        <v>1</v>
      </c>
      <c r="G304" s="23">
        <f t="shared" si="24"/>
        <v>1</v>
      </c>
    </row>
    <row r="305" spans="1:7" x14ac:dyDescent="0.35">
      <c r="A305" s="25" t="s">
        <v>508</v>
      </c>
      <c r="B305" s="25" t="s">
        <v>2809</v>
      </c>
      <c r="C305" s="25" t="str">
        <f t="shared" si="22"/>
        <v>Quận Ngô Quyền - Hải Phòng</v>
      </c>
      <c r="D305" s="25" t="s">
        <v>3142</v>
      </c>
      <c r="E305" s="25" t="s">
        <v>3145</v>
      </c>
      <c r="F305" s="23">
        <f t="shared" si="23"/>
        <v>1</v>
      </c>
      <c r="G305" s="23">
        <f t="shared" si="24"/>
        <v>1</v>
      </c>
    </row>
    <row r="306" spans="1:7" x14ac:dyDescent="0.35">
      <c r="A306" s="25" t="s">
        <v>555</v>
      </c>
      <c r="B306" s="25" t="s">
        <v>2523</v>
      </c>
      <c r="C306" s="25" t="str">
        <f t="shared" si="22"/>
        <v>Huyện Châu Thành - Hậu Giang</v>
      </c>
      <c r="D306" s="25" t="s">
        <v>3139</v>
      </c>
      <c r="E306" s="25" t="s">
        <v>3140</v>
      </c>
      <c r="F306" s="23">
        <f t="shared" si="23"/>
        <v>10</v>
      </c>
      <c r="G306" s="23">
        <f t="shared" si="24"/>
        <v>1</v>
      </c>
    </row>
    <row r="307" spans="1:7" x14ac:dyDescent="0.35">
      <c r="A307" s="25" t="s">
        <v>555</v>
      </c>
      <c r="B307" s="25" t="s">
        <v>2662</v>
      </c>
      <c r="C307" s="25" t="str">
        <f t="shared" si="22"/>
        <v>Huyện Châu Thành A - Hậu Giang</v>
      </c>
      <c r="D307" s="25" t="s">
        <v>3139</v>
      </c>
      <c r="E307" s="25" t="s">
        <v>3140</v>
      </c>
      <c r="F307" s="23">
        <f t="shared" si="23"/>
        <v>1</v>
      </c>
      <c r="G307" s="23">
        <f t="shared" si="24"/>
        <v>1</v>
      </c>
    </row>
    <row r="308" spans="1:7" x14ac:dyDescent="0.35">
      <c r="A308" s="25" t="s">
        <v>555</v>
      </c>
      <c r="B308" s="25" t="s">
        <v>2555</v>
      </c>
      <c r="C308" s="25" t="str">
        <f t="shared" si="22"/>
        <v>Huyện Long Mỹ - Hậu Giang</v>
      </c>
      <c r="D308" s="25" t="s">
        <v>3139</v>
      </c>
      <c r="E308" s="25" t="s">
        <v>3140</v>
      </c>
      <c r="F308" s="23">
        <f t="shared" si="23"/>
        <v>1</v>
      </c>
      <c r="G308" s="23">
        <f t="shared" si="24"/>
        <v>1</v>
      </c>
    </row>
    <row r="309" spans="1:7" x14ac:dyDescent="0.35">
      <c r="A309" s="25" t="s">
        <v>555</v>
      </c>
      <c r="B309" s="25" t="s">
        <v>2600</v>
      </c>
      <c r="C309" s="25" t="str">
        <f t="shared" si="22"/>
        <v>Huyện Phụng Hiệp - Hậu Giang</v>
      </c>
      <c r="D309" s="25" t="s">
        <v>3139</v>
      </c>
      <c r="E309" s="25" t="s">
        <v>3140</v>
      </c>
      <c r="F309" s="23">
        <f t="shared" si="23"/>
        <v>1</v>
      </c>
      <c r="G309" s="23">
        <f t="shared" si="24"/>
        <v>1</v>
      </c>
    </row>
    <row r="310" spans="1:7" x14ac:dyDescent="0.35">
      <c r="A310" s="25" t="s">
        <v>555</v>
      </c>
      <c r="B310" s="25" t="s">
        <v>2554</v>
      </c>
      <c r="C310" s="25" t="str">
        <f t="shared" si="22"/>
        <v>Huyện Vị Thuỷ - Hậu Giang</v>
      </c>
      <c r="D310" s="25" t="s">
        <v>3141</v>
      </c>
      <c r="E310" s="25" t="s">
        <v>3140</v>
      </c>
      <c r="F310" s="23">
        <f t="shared" si="23"/>
        <v>1</v>
      </c>
      <c r="G310" s="23">
        <f t="shared" si="24"/>
        <v>1</v>
      </c>
    </row>
    <row r="311" spans="1:7" x14ac:dyDescent="0.35">
      <c r="A311" s="25" t="s">
        <v>555</v>
      </c>
      <c r="B311" s="25" t="s">
        <v>2517</v>
      </c>
      <c r="C311" s="25" t="str">
        <f t="shared" si="22"/>
        <v>Thành phố Vị Thanh - Hậu Giang</v>
      </c>
      <c r="D311" s="25" t="s">
        <v>3142</v>
      </c>
      <c r="E311" s="25" t="s">
        <v>3140</v>
      </c>
      <c r="F311" s="23">
        <f t="shared" si="23"/>
        <v>1</v>
      </c>
      <c r="G311" s="23">
        <f t="shared" si="24"/>
        <v>1</v>
      </c>
    </row>
    <row r="312" spans="1:7" x14ac:dyDescent="0.35">
      <c r="A312" s="25" t="s">
        <v>555</v>
      </c>
      <c r="B312" s="25" t="s">
        <v>2556</v>
      </c>
      <c r="C312" s="25" t="str">
        <f t="shared" si="22"/>
        <v>Thị xã Long Mỹ - Hậu Giang</v>
      </c>
      <c r="D312" s="25" t="s">
        <v>3142</v>
      </c>
      <c r="E312" s="25" t="s">
        <v>3140</v>
      </c>
      <c r="F312" s="23">
        <f t="shared" si="23"/>
        <v>1</v>
      </c>
      <c r="G312" s="23">
        <f t="shared" si="24"/>
        <v>1</v>
      </c>
    </row>
    <row r="313" spans="1:7" x14ac:dyDescent="0.35">
      <c r="A313" s="25" t="s">
        <v>555</v>
      </c>
      <c r="B313" s="25" t="s">
        <v>3162</v>
      </c>
      <c r="C313" s="25" t="str">
        <f t="shared" si="22"/>
        <v>Thị xã Ngã Bảy - Hậu Giang</v>
      </c>
      <c r="D313" s="25" t="s">
        <v>3139</v>
      </c>
      <c r="E313" s="25" t="s">
        <v>3140</v>
      </c>
      <c r="F313" s="23">
        <f t="shared" si="23"/>
        <v>1</v>
      </c>
      <c r="G313" s="23">
        <f t="shared" si="24"/>
        <v>1</v>
      </c>
    </row>
    <row r="314" spans="1:7" x14ac:dyDescent="0.35">
      <c r="A314" s="26" t="s">
        <v>507</v>
      </c>
      <c r="B314" s="25" t="s">
        <v>2457</v>
      </c>
      <c r="C314" s="25" t="str">
        <f t="shared" si="22"/>
        <v>Huyện Bình Chánh - Hồ Chí Minh</v>
      </c>
      <c r="D314" s="25" t="s">
        <v>3139</v>
      </c>
      <c r="E314" s="25" t="s">
        <v>3140</v>
      </c>
      <c r="F314" s="23">
        <f t="shared" si="23"/>
        <v>1</v>
      </c>
      <c r="G314" s="23">
        <f t="shared" si="24"/>
        <v>1</v>
      </c>
    </row>
    <row r="315" spans="1:7" x14ac:dyDescent="0.35">
      <c r="A315" s="26" t="s">
        <v>507</v>
      </c>
      <c r="B315" s="25" t="s">
        <v>2462</v>
      </c>
      <c r="C315" s="25" t="str">
        <f t="shared" si="22"/>
        <v>Huyện Cần Giờ - Hồ Chí Minh</v>
      </c>
      <c r="D315" s="25" t="s">
        <v>3139</v>
      </c>
      <c r="E315" s="25" t="s">
        <v>3140</v>
      </c>
      <c r="F315" s="23">
        <f t="shared" si="23"/>
        <v>1</v>
      </c>
      <c r="G315" s="23">
        <f t="shared" si="24"/>
        <v>1</v>
      </c>
    </row>
    <row r="316" spans="1:7" x14ac:dyDescent="0.35">
      <c r="A316" s="26" t="s">
        <v>507</v>
      </c>
      <c r="B316" s="25" t="s">
        <v>2458</v>
      </c>
      <c r="C316" s="25" t="str">
        <f t="shared" si="22"/>
        <v>Huyện Củ Chi - Hồ Chí Minh</v>
      </c>
      <c r="D316" s="25" t="s">
        <v>3139</v>
      </c>
      <c r="E316" s="25" t="s">
        <v>3140</v>
      </c>
      <c r="F316" s="23">
        <f t="shared" si="23"/>
        <v>1</v>
      </c>
      <c r="G316" s="23">
        <f t="shared" si="24"/>
        <v>1</v>
      </c>
    </row>
    <row r="317" spans="1:7" x14ac:dyDescent="0.35">
      <c r="A317" s="26" t="s">
        <v>507</v>
      </c>
      <c r="B317" s="25" t="s">
        <v>2459</v>
      </c>
      <c r="C317" s="25" t="str">
        <f t="shared" si="22"/>
        <v>Huyện Hóc Môn - Hồ Chí Minh</v>
      </c>
      <c r="D317" s="25" t="s">
        <v>3139</v>
      </c>
      <c r="E317" s="25" t="s">
        <v>3140</v>
      </c>
      <c r="F317" s="23">
        <f t="shared" si="23"/>
        <v>1</v>
      </c>
      <c r="G317" s="23">
        <f t="shared" si="24"/>
        <v>1</v>
      </c>
    </row>
    <row r="318" spans="1:7" x14ac:dyDescent="0.35">
      <c r="A318" s="26" t="s">
        <v>507</v>
      </c>
      <c r="B318" s="25" t="s">
        <v>2460</v>
      </c>
      <c r="C318" s="25" t="str">
        <f t="shared" si="22"/>
        <v>Huyện Nhà Bè - Hồ Chí Minh</v>
      </c>
      <c r="D318" s="25" t="s">
        <v>3139</v>
      </c>
      <c r="E318" s="25" t="s">
        <v>3140</v>
      </c>
      <c r="F318" s="23">
        <f t="shared" si="23"/>
        <v>1</v>
      </c>
      <c r="G318" s="23">
        <f t="shared" si="24"/>
        <v>1</v>
      </c>
    </row>
    <row r="319" spans="1:7" x14ac:dyDescent="0.35">
      <c r="A319" s="26" t="s">
        <v>507</v>
      </c>
      <c r="B319" s="25" t="s">
        <v>2438</v>
      </c>
      <c r="C319" s="25" t="str">
        <f t="shared" si="22"/>
        <v>Quận 1 - Hồ Chí Minh</v>
      </c>
      <c r="D319" s="25" t="s">
        <v>3142</v>
      </c>
      <c r="E319" s="25" t="s">
        <v>3140</v>
      </c>
      <c r="F319" s="23">
        <f t="shared" si="23"/>
        <v>1</v>
      </c>
      <c r="G319" s="23">
        <f t="shared" si="24"/>
        <v>1</v>
      </c>
    </row>
    <row r="320" spans="1:7" x14ac:dyDescent="0.35">
      <c r="A320" s="26" t="s">
        <v>507</v>
      </c>
      <c r="B320" s="25" t="s">
        <v>2439</v>
      </c>
      <c r="C320" s="25" t="str">
        <f t="shared" si="22"/>
        <v>Quận 10 - Hồ Chí Minh</v>
      </c>
      <c r="D320" s="25" t="s">
        <v>3142</v>
      </c>
      <c r="E320" s="25" t="s">
        <v>3140</v>
      </c>
      <c r="F320" s="23">
        <f t="shared" si="23"/>
        <v>1</v>
      </c>
      <c r="G320" s="23">
        <f t="shared" si="24"/>
        <v>1</v>
      </c>
    </row>
    <row r="321" spans="1:7" x14ac:dyDescent="0.35">
      <c r="A321" s="26" t="s">
        <v>507</v>
      </c>
      <c r="B321" s="25" t="s">
        <v>2440</v>
      </c>
      <c r="C321" s="25" t="str">
        <f t="shared" si="22"/>
        <v>Quận 11 - Hồ Chí Minh</v>
      </c>
      <c r="D321" s="25" t="s">
        <v>3142</v>
      </c>
      <c r="E321" s="25" t="s">
        <v>3140</v>
      </c>
      <c r="F321" s="23">
        <f t="shared" si="23"/>
        <v>1</v>
      </c>
      <c r="G321" s="23">
        <f t="shared" si="24"/>
        <v>1</v>
      </c>
    </row>
    <row r="322" spans="1:7" x14ac:dyDescent="0.35">
      <c r="A322" s="26" t="s">
        <v>507</v>
      </c>
      <c r="B322" s="25" t="s">
        <v>2453</v>
      </c>
      <c r="C322" s="25" t="str">
        <f t="shared" si="22"/>
        <v>Quận 12 - Hồ Chí Minh</v>
      </c>
      <c r="D322" s="25" t="s">
        <v>3141</v>
      </c>
      <c r="E322" s="25" t="s">
        <v>3140</v>
      </c>
      <c r="F322" s="23">
        <f t="shared" si="23"/>
        <v>1</v>
      </c>
      <c r="G322" s="23">
        <f t="shared" si="24"/>
        <v>1</v>
      </c>
    </row>
    <row r="323" spans="1:7" x14ac:dyDescent="0.35">
      <c r="A323" s="26" t="s">
        <v>507</v>
      </c>
      <c r="B323" s="25" t="s">
        <v>2441</v>
      </c>
      <c r="C323" s="25" t="str">
        <f t="shared" si="22"/>
        <v>Quận 2 - Hồ Chí Minh</v>
      </c>
      <c r="D323" s="25" t="s">
        <v>3142</v>
      </c>
      <c r="E323" s="25" t="s">
        <v>3140</v>
      </c>
      <c r="F323" s="23">
        <f t="shared" si="23"/>
        <v>1</v>
      </c>
      <c r="G323" s="23">
        <f t="shared" si="24"/>
        <v>1</v>
      </c>
    </row>
    <row r="324" spans="1:7" x14ac:dyDescent="0.35">
      <c r="A324" s="26" t="s">
        <v>507</v>
      </c>
      <c r="B324" s="25" t="s">
        <v>2442</v>
      </c>
      <c r="C324" s="25" t="str">
        <f t="shared" si="22"/>
        <v>Quận 3 - Hồ Chí Minh</v>
      </c>
      <c r="D324" s="25" t="s">
        <v>3142</v>
      </c>
      <c r="E324" s="25" t="s">
        <v>3140</v>
      </c>
      <c r="F324" s="23">
        <f t="shared" si="23"/>
        <v>1</v>
      </c>
      <c r="G324" s="23">
        <f t="shared" si="24"/>
        <v>1</v>
      </c>
    </row>
    <row r="325" spans="1:7" x14ac:dyDescent="0.35">
      <c r="A325" s="26" t="s">
        <v>507</v>
      </c>
      <c r="B325" s="25" t="s">
        <v>2443</v>
      </c>
      <c r="C325" s="25" t="str">
        <f t="shared" si="22"/>
        <v>Quận 4 - Hồ Chí Minh</v>
      </c>
      <c r="D325" s="25" t="s">
        <v>3142</v>
      </c>
      <c r="E325" s="25" t="s">
        <v>3140</v>
      </c>
      <c r="F325" s="23">
        <f t="shared" si="23"/>
        <v>1</v>
      </c>
      <c r="G325" s="23">
        <f t="shared" si="24"/>
        <v>1</v>
      </c>
    </row>
    <row r="326" spans="1:7" x14ac:dyDescent="0.35">
      <c r="A326" s="26" t="s">
        <v>507</v>
      </c>
      <c r="B326" s="25" t="s">
        <v>2444</v>
      </c>
      <c r="C326" s="25" t="str">
        <f t="shared" ref="C326:C390" si="25">B326&amp;" - "&amp;A326</f>
        <v>Quận 5 - Hồ Chí Minh</v>
      </c>
      <c r="D326" s="25" t="s">
        <v>3142</v>
      </c>
      <c r="E326" s="25" t="s">
        <v>3140</v>
      </c>
      <c r="F326" s="23">
        <f t="shared" si="23"/>
        <v>1</v>
      </c>
      <c r="G326" s="23">
        <f t="shared" si="24"/>
        <v>1</v>
      </c>
    </row>
    <row r="327" spans="1:7" x14ac:dyDescent="0.35">
      <c r="A327" s="26" t="s">
        <v>507</v>
      </c>
      <c r="B327" s="25" t="s">
        <v>2445</v>
      </c>
      <c r="C327" s="25" t="str">
        <f t="shared" si="25"/>
        <v>Quận 6 - Hồ Chí Minh</v>
      </c>
      <c r="D327" s="25" t="s">
        <v>3142</v>
      </c>
      <c r="E327" s="25" t="s">
        <v>3140</v>
      </c>
      <c r="F327" s="23">
        <f t="shared" si="23"/>
        <v>1</v>
      </c>
      <c r="G327" s="23">
        <f t="shared" si="24"/>
        <v>1</v>
      </c>
    </row>
    <row r="328" spans="1:7" x14ac:dyDescent="0.35">
      <c r="A328" s="26" t="s">
        <v>507</v>
      </c>
      <c r="B328" s="25" t="s">
        <v>2446</v>
      </c>
      <c r="C328" s="25" t="str">
        <f t="shared" si="25"/>
        <v>Quận 7 - Hồ Chí Minh</v>
      </c>
      <c r="D328" s="25" t="s">
        <v>3142</v>
      </c>
      <c r="E328" s="25" t="s">
        <v>3140</v>
      </c>
      <c r="F328" s="23">
        <f t="shared" si="23"/>
        <v>1</v>
      </c>
      <c r="G328" s="23">
        <f t="shared" si="24"/>
        <v>1</v>
      </c>
    </row>
    <row r="329" spans="1:7" x14ac:dyDescent="0.35">
      <c r="A329" s="26" t="s">
        <v>507</v>
      </c>
      <c r="B329" s="25" t="s">
        <v>2447</v>
      </c>
      <c r="C329" s="25" t="str">
        <f t="shared" si="25"/>
        <v>Quận 8 - Hồ Chí Minh</v>
      </c>
      <c r="D329" s="25" t="s">
        <v>3142</v>
      </c>
      <c r="E329" s="25" t="s">
        <v>3140</v>
      </c>
      <c r="F329" s="23">
        <f t="shared" si="23"/>
        <v>1</v>
      </c>
      <c r="G329" s="23">
        <f t="shared" si="24"/>
        <v>1</v>
      </c>
    </row>
    <row r="330" spans="1:7" x14ac:dyDescent="0.35">
      <c r="A330" s="26" t="s">
        <v>507</v>
      </c>
      <c r="B330" s="25" t="s">
        <v>2454</v>
      </c>
      <c r="C330" s="25" t="str">
        <f t="shared" si="25"/>
        <v>Quận 9 - Hồ Chí Minh</v>
      </c>
      <c r="D330" s="25" t="s">
        <v>3141</v>
      </c>
      <c r="E330" s="25" t="s">
        <v>3140</v>
      </c>
      <c r="F330" s="23">
        <f t="shared" ref="F330:F393" si="26">COUNTIF($B:$B,B330)</f>
        <v>1</v>
      </c>
      <c r="G330" s="23">
        <f t="shared" ref="G330:G393" si="27">COUNTIF($C:$C,C330)</f>
        <v>1</v>
      </c>
    </row>
    <row r="331" spans="1:7" x14ac:dyDescent="0.35">
      <c r="A331" s="26" t="s">
        <v>507</v>
      </c>
      <c r="B331" s="25" t="s">
        <v>2455</v>
      </c>
      <c r="C331" s="25" t="str">
        <f t="shared" si="25"/>
        <v>Quận Bình Tân - Hồ Chí Minh</v>
      </c>
      <c r="D331" s="25" t="s">
        <v>3141</v>
      </c>
      <c r="E331" s="25" t="s">
        <v>3140</v>
      </c>
      <c r="F331" s="23">
        <f t="shared" si="26"/>
        <v>1</v>
      </c>
      <c r="G331" s="23">
        <f t="shared" si="27"/>
        <v>1</v>
      </c>
    </row>
    <row r="332" spans="1:7" x14ac:dyDescent="0.35">
      <c r="A332" s="26" t="s">
        <v>507</v>
      </c>
      <c r="B332" s="25" t="s">
        <v>2448</v>
      </c>
      <c r="C332" s="25" t="str">
        <f t="shared" si="25"/>
        <v>Quận Bình Thạnh - Hồ Chí Minh</v>
      </c>
      <c r="D332" s="25" t="s">
        <v>3142</v>
      </c>
      <c r="E332" s="25" t="s">
        <v>3140</v>
      </c>
      <c r="F332" s="23">
        <f t="shared" si="26"/>
        <v>1</v>
      </c>
      <c r="G332" s="23">
        <f t="shared" si="27"/>
        <v>1</v>
      </c>
    </row>
    <row r="333" spans="1:7" x14ac:dyDescent="0.35">
      <c r="A333" s="26" t="s">
        <v>507</v>
      </c>
      <c r="B333" s="25" t="s">
        <v>2449</v>
      </c>
      <c r="C333" s="25" t="str">
        <f t="shared" si="25"/>
        <v>Quận Gò Vấp - Hồ Chí Minh</v>
      </c>
      <c r="D333" s="25" t="s">
        <v>3142</v>
      </c>
      <c r="E333" s="25" t="s">
        <v>3140</v>
      </c>
      <c r="F333" s="23">
        <f t="shared" si="26"/>
        <v>1</v>
      </c>
      <c r="G333" s="23">
        <f t="shared" si="27"/>
        <v>1</v>
      </c>
    </row>
    <row r="334" spans="1:7" x14ac:dyDescent="0.35">
      <c r="A334" s="26" t="s">
        <v>507</v>
      </c>
      <c r="B334" s="25" t="s">
        <v>2450</v>
      </c>
      <c r="C334" s="25" t="str">
        <f t="shared" si="25"/>
        <v>Quận Phú Nhuận - Hồ Chí Minh</v>
      </c>
      <c r="D334" s="25" t="s">
        <v>3142</v>
      </c>
      <c r="E334" s="25" t="s">
        <v>3140</v>
      </c>
      <c r="F334" s="23">
        <f t="shared" si="26"/>
        <v>1</v>
      </c>
      <c r="G334" s="23">
        <f t="shared" si="27"/>
        <v>1</v>
      </c>
    </row>
    <row r="335" spans="1:7" x14ac:dyDescent="0.35">
      <c r="A335" s="26" t="s">
        <v>507</v>
      </c>
      <c r="B335" s="25" t="s">
        <v>2451</v>
      </c>
      <c r="C335" s="25" t="str">
        <f t="shared" si="25"/>
        <v>Quận Tân Bình - Hồ Chí Minh</v>
      </c>
      <c r="D335" s="25" t="s">
        <v>3142</v>
      </c>
      <c r="E335" s="25" t="s">
        <v>3140</v>
      </c>
      <c r="F335" s="23">
        <f t="shared" si="26"/>
        <v>1</v>
      </c>
      <c r="G335" s="23">
        <f t="shared" si="27"/>
        <v>1</v>
      </c>
    </row>
    <row r="336" spans="1:7" x14ac:dyDescent="0.35">
      <c r="A336" s="26" t="s">
        <v>507</v>
      </c>
      <c r="B336" s="25" t="s">
        <v>2452</v>
      </c>
      <c r="C336" s="25" t="str">
        <f t="shared" si="25"/>
        <v>Quận Tân Phú - Hồ Chí Minh</v>
      </c>
      <c r="D336" s="25" t="s">
        <v>3142</v>
      </c>
      <c r="E336" s="25" t="s">
        <v>3140</v>
      </c>
      <c r="F336" s="23">
        <f t="shared" si="26"/>
        <v>1</v>
      </c>
      <c r="G336" s="23">
        <f t="shared" si="27"/>
        <v>1</v>
      </c>
    </row>
    <row r="337" spans="1:7" x14ac:dyDescent="0.35">
      <c r="A337" s="26" t="s">
        <v>507</v>
      </c>
      <c r="B337" s="25" t="s">
        <v>2456</v>
      </c>
      <c r="C337" s="25" t="str">
        <f t="shared" si="25"/>
        <v>Quận Thủ Đức - Hồ Chí Minh</v>
      </c>
      <c r="D337" s="25" t="s">
        <v>3141</v>
      </c>
      <c r="E337" s="25" t="s">
        <v>3140</v>
      </c>
      <c r="F337" s="23">
        <f t="shared" si="26"/>
        <v>1</v>
      </c>
      <c r="G337" s="23">
        <f t="shared" si="27"/>
        <v>1</v>
      </c>
    </row>
    <row r="338" spans="1:7" x14ac:dyDescent="0.35">
      <c r="A338" s="25" t="s">
        <v>705</v>
      </c>
      <c r="B338" s="25" t="s">
        <v>2910</v>
      </c>
      <c r="C338" s="25" t="str">
        <f t="shared" si="25"/>
        <v>Huyện Cao Phong - Hòa Bình</v>
      </c>
      <c r="D338" s="25" t="s">
        <v>3141</v>
      </c>
      <c r="E338" s="25" t="s">
        <v>3145</v>
      </c>
      <c r="F338" s="23">
        <f t="shared" si="26"/>
        <v>1</v>
      </c>
      <c r="G338" s="23">
        <f t="shared" si="27"/>
        <v>1</v>
      </c>
    </row>
    <row r="339" spans="1:7" x14ac:dyDescent="0.35">
      <c r="A339" s="25" t="s">
        <v>705</v>
      </c>
      <c r="B339" s="25" t="s">
        <v>2880</v>
      </c>
      <c r="C339" s="25" t="str">
        <f t="shared" si="25"/>
        <v>Huyện Đà Bắc - Hòa Bình</v>
      </c>
      <c r="D339" s="25" t="s">
        <v>3141</v>
      </c>
      <c r="E339" s="25" t="s">
        <v>3145</v>
      </c>
      <c r="F339" s="23">
        <f t="shared" si="26"/>
        <v>1</v>
      </c>
      <c r="G339" s="23">
        <f t="shared" si="27"/>
        <v>1</v>
      </c>
    </row>
    <row r="340" spans="1:7" x14ac:dyDescent="0.35">
      <c r="A340" s="25" t="s">
        <v>705</v>
      </c>
      <c r="B340" s="25" t="s">
        <v>3077</v>
      </c>
      <c r="C340" s="25" t="str">
        <f t="shared" si="25"/>
        <v>Huyện Kim Bôi - Hòa Bình</v>
      </c>
      <c r="D340" s="25" t="s">
        <v>3139</v>
      </c>
      <c r="E340" s="25" t="s">
        <v>3145</v>
      </c>
      <c r="F340" s="23">
        <f t="shared" si="26"/>
        <v>1</v>
      </c>
      <c r="G340" s="23">
        <f t="shared" si="27"/>
        <v>1</v>
      </c>
    </row>
    <row r="341" spans="1:7" x14ac:dyDescent="0.35">
      <c r="A341" s="25" t="s">
        <v>705</v>
      </c>
      <c r="B341" s="25" t="s">
        <v>2888</v>
      </c>
      <c r="C341" s="25" t="str">
        <f t="shared" si="25"/>
        <v>Huyện Kỳ Sơn - Hòa Bình</v>
      </c>
      <c r="D341" s="25" t="s">
        <v>3141</v>
      </c>
      <c r="E341" s="25" t="s">
        <v>3145</v>
      </c>
      <c r="F341" s="23">
        <f t="shared" si="26"/>
        <v>2</v>
      </c>
      <c r="G341" s="23">
        <f t="shared" si="27"/>
        <v>1</v>
      </c>
    </row>
    <row r="342" spans="1:7" x14ac:dyDescent="0.35">
      <c r="A342" s="25" t="s">
        <v>705</v>
      </c>
      <c r="B342" s="25" t="s">
        <v>3082</v>
      </c>
      <c r="C342" s="25" t="str">
        <f t="shared" si="25"/>
        <v>Huyện Lạc Sơn - Hòa Bình</v>
      </c>
      <c r="D342" s="25" t="s">
        <v>3139</v>
      </c>
      <c r="E342" s="25" t="s">
        <v>3145</v>
      </c>
      <c r="F342" s="23">
        <f t="shared" si="26"/>
        <v>1</v>
      </c>
      <c r="G342" s="23">
        <f t="shared" si="27"/>
        <v>1</v>
      </c>
    </row>
    <row r="343" spans="1:7" x14ac:dyDescent="0.35">
      <c r="A343" s="25" t="s">
        <v>705</v>
      </c>
      <c r="B343" s="25" t="s">
        <v>3091</v>
      </c>
      <c r="C343" s="25" t="str">
        <f t="shared" si="25"/>
        <v>Huyện Lạc Thủy - Hòa Bình</v>
      </c>
      <c r="D343" s="25" t="s">
        <v>3139</v>
      </c>
      <c r="E343" s="25" t="s">
        <v>3145</v>
      </c>
      <c r="F343" s="23">
        <f t="shared" si="26"/>
        <v>1</v>
      </c>
      <c r="G343" s="23">
        <f t="shared" si="27"/>
        <v>1</v>
      </c>
    </row>
    <row r="344" spans="1:7" x14ac:dyDescent="0.35">
      <c r="A344" s="25" t="s">
        <v>705</v>
      </c>
      <c r="B344" s="25" t="s">
        <v>2998</v>
      </c>
      <c r="C344" s="25" t="str">
        <f t="shared" si="25"/>
        <v>Huyện Lương Sơn - Hòa Bình</v>
      </c>
      <c r="D344" s="25" t="s">
        <v>3141</v>
      </c>
      <c r="E344" s="25" t="s">
        <v>3145</v>
      </c>
      <c r="F344" s="23">
        <f t="shared" si="26"/>
        <v>1</v>
      </c>
      <c r="G344" s="23">
        <f t="shared" si="27"/>
        <v>1</v>
      </c>
    </row>
    <row r="345" spans="1:7" x14ac:dyDescent="0.35">
      <c r="A345" s="25" t="s">
        <v>705</v>
      </c>
      <c r="B345" s="25" t="s">
        <v>3085</v>
      </c>
      <c r="C345" s="25" t="str">
        <f t="shared" si="25"/>
        <v>Huyện Mai Châu - Hòa Bình</v>
      </c>
      <c r="D345" s="25" t="s">
        <v>3139</v>
      </c>
      <c r="E345" s="25" t="s">
        <v>3145</v>
      </c>
      <c r="F345" s="23">
        <f t="shared" si="26"/>
        <v>1</v>
      </c>
      <c r="G345" s="23">
        <f t="shared" si="27"/>
        <v>1</v>
      </c>
    </row>
    <row r="346" spans="1:7" x14ac:dyDescent="0.35">
      <c r="A346" s="25" t="s">
        <v>705</v>
      </c>
      <c r="B346" s="25" t="s">
        <v>3022</v>
      </c>
      <c r="C346" s="25" t="str">
        <f t="shared" si="25"/>
        <v>Huyện Tân Lạc - Hòa Bình</v>
      </c>
      <c r="D346" s="25" t="s">
        <v>3139</v>
      </c>
      <c r="E346" s="25" t="s">
        <v>3145</v>
      </c>
      <c r="F346" s="23">
        <f t="shared" si="26"/>
        <v>1</v>
      </c>
      <c r="G346" s="23">
        <f t="shared" si="27"/>
        <v>1</v>
      </c>
    </row>
    <row r="347" spans="1:7" x14ac:dyDescent="0.35">
      <c r="A347" s="25" t="s">
        <v>705</v>
      </c>
      <c r="B347" s="25" t="s">
        <v>3090</v>
      </c>
      <c r="C347" s="25" t="str">
        <f t="shared" si="25"/>
        <v>Huyện Yên Thủy - Hòa Bình</v>
      </c>
      <c r="D347" s="25" t="s">
        <v>3139</v>
      </c>
      <c r="E347" s="25" t="s">
        <v>3145</v>
      </c>
      <c r="F347" s="23">
        <f t="shared" si="26"/>
        <v>1</v>
      </c>
      <c r="G347" s="23">
        <f t="shared" si="27"/>
        <v>1</v>
      </c>
    </row>
    <row r="348" spans="1:7" x14ac:dyDescent="0.35">
      <c r="A348" s="25" t="s">
        <v>705</v>
      </c>
      <c r="B348" s="25" t="s">
        <v>2819</v>
      </c>
      <c r="C348" s="25" t="str">
        <f t="shared" si="25"/>
        <v>Thành phố Hòa Bình - Hòa Bình</v>
      </c>
      <c r="D348" s="25" t="s">
        <v>3142</v>
      </c>
      <c r="E348" s="25" t="s">
        <v>3145</v>
      </c>
      <c r="F348" s="23">
        <f t="shared" si="26"/>
        <v>1</v>
      </c>
      <c r="G348" s="23">
        <f t="shared" si="27"/>
        <v>1</v>
      </c>
    </row>
    <row r="349" spans="1:7" x14ac:dyDescent="0.35">
      <c r="A349" s="25" t="s">
        <v>519</v>
      </c>
      <c r="B349" s="25" t="s">
        <v>2912</v>
      </c>
      <c r="C349" s="25" t="str">
        <f t="shared" si="25"/>
        <v>Huyện Ân Thi - Hưng Yên</v>
      </c>
      <c r="D349" s="25" t="s">
        <v>3141</v>
      </c>
      <c r="E349" s="25" t="s">
        <v>3145</v>
      </c>
      <c r="F349" s="23">
        <f t="shared" si="26"/>
        <v>1</v>
      </c>
      <c r="G349" s="23">
        <f t="shared" si="27"/>
        <v>1</v>
      </c>
    </row>
    <row r="350" spans="1:7" x14ac:dyDescent="0.35">
      <c r="A350" s="25" t="s">
        <v>519</v>
      </c>
      <c r="B350" s="25" t="s">
        <v>2920</v>
      </c>
      <c r="C350" s="25" t="str">
        <f t="shared" si="25"/>
        <v>Huyện Khoái Châu - Hưng Yên</v>
      </c>
      <c r="D350" s="25" t="s">
        <v>3139</v>
      </c>
      <c r="E350" s="25" t="s">
        <v>3145</v>
      </c>
      <c r="F350" s="23">
        <f t="shared" si="26"/>
        <v>1</v>
      </c>
      <c r="G350" s="23">
        <f t="shared" si="27"/>
        <v>1</v>
      </c>
    </row>
    <row r="351" spans="1:7" x14ac:dyDescent="0.35">
      <c r="A351" s="25" t="s">
        <v>519</v>
      </c>
      <c r="B351" s="25" t="s">
        <v>2844</v>
      </c>
      <c r="C351" s="25" t="str">
        <f t="shared" si="25"/>
        <v>Huyện Kim Động - Hưng Yên</v>
      </c>
      <c r="D351" s="25" t="s">
        <v>3141</v>
      </c>
      <c r="E351" s="25" t="s">
        <v>3145</v>
      </c>
      <c r="F351" s="23">
        <f t="shared" si="26"/>
        <v>1</v>
      </c>
      <c r="G351" s="23">
        <f t="shared" si="27"/>
        <v>1</v>
      </c>
    </row>
    <row r="352" spans="1:7" x14ac:dyDescent="0.35">
      <c r="A352" s="25" t="s">
        <v>519</v>
      </c>
      <c r="B352" s="25" t="s">
        <v>2924</v>
      </c>
      <c r="C352" s="25" t="str">
        <f t="shared" si="25"/>
        <v>Huyện Mỹ Hào - Hưng Yên</v>
      </c>
      <c r="D352" s="25" t="s">
        <v>3139</v>
      </c>
      <c r="E352" s="25" t="s">
        <v>3145</v>
      </c>
      <c r="F352" s="23">
        <f t="shared" si="26"/>
        <v>1</v>
      </c>
      <c r="G352" s="23">
        <f t="shared" si="27"/>
        <v>1</v>
      </c>
    </row>
    <row r="353" spans="1:7" x14ac:dyDescent="0.35">
      <c r="A353" s="25" t="s">
        <v>519</v>
      </c>
      <c r="B353" s="25" t="s">
        <v>2909</v>
      </c>
      <c r="C353" s="25" t="str">
        <f t="shared" si="25"/>
        <v>Huyện Phù Cừ - Hưng Yên</v>
      </c>
      <c r="D353" s="25" t="s">
        <v>3141</v>
      </c>
      <c r="E353" s="25" t="s">
        <v>3145</v>
      </c>
      <c r="F353" s="23">
        <f t="shared" si="26"/>
        <v>1</v>
      </c>
      <c r="G353" s="23">
        <f t="shared" si="27"/>
        <v>1</v>
      </c>
    </row>
    <row r="354" spans="1:7" x14ac:dyDescent="0.35">
      <c r="A354" s="25" t="s">
        <v>519</v>
      </c>
      <c r="B354" s="25" t="s">
        <v>2875</v>
      </c>
      <c r="C354" s="25" t="str">
        <f t="shared" si="25"/>
        <v>Huyện Tiên Lữ - Hưng Yên</v>
      </c>
      <c r="D354" s="25" t="s">
        <v>3141</v>
      </c>
      <c r="E354" s="25" t="s">
        <v>3145</v>
      </c>
      <c r="F354" s="23">
        <f t="shared" si="26"/>
        <v>1</v>
      </c>
      <c r="G354" s="23">
        <f t="shared" si="27"/>
        <v>1</v>
      </c>
    </row>
    <row r="355" spans="1:7" x14ac:dyDescent="0.35">
      <c r="A355" s="25" t="s">
        <v>519</v>
      </c>
      <c r="B355" s="25" t="s">
        <v>2969</v>
      </c>
      <c r="C355" s="25" t="str">
        <f t="shared" si="25"/>
        <v>Huyện Văn Giang - Hưng Yên</v>
      </c>
      <c r="D355" s="25" t="s">
        <v>3139</v>
      </c>
      <c r="E355" s="25" t="s">
        <v>3145</v>
      </c>
      <c r="F355" s="23">
        <f t="shared" si="26"/>
        <v>1</v>
      </c>
      <c r="G355" s="23">
        <f t="shared" si="27"/>
        <v>1</v>
      </c>
    </row>
    <row r="356" spans="1:7" x14ac:dyDescent="0.35">
      <c r="A356" s="25" t="s">
        <v>519</v>
      </c>
      <c r="B356" s="25" t="s">
        <v>2958</v>
      </c>
      <c r="C356" s="25" t="str">
        <f t="shared" si="25"/>
        <v>Huyện Văn Lâm - Hưng Yên</v>
      </c>
      <c r="D356" s="25" t="s">
        <v>3139</v>
      </c>
      <c r="E356" s="25" t="s">
        <v>3145</v>
      </c>
      <c r="F356" s="23">
        <f t="shared" si="26"/>
        <v>1</v>
      </c>
      <c r="G356" s="23">
        <f t="shared" si="27"/>
        <v>1</v>
      </c>
    </row>
    <row r="357" spans="1:7" x14ac:dyDescent="0.35">
      <c r="A357" s="25" t="s">
        <v>519</v>
      </c>
      <c r="B357" s="25" t="s">
        <v>2939</v>
      </c>
      <c r="C357" s="25" t="str">
        <f t="shared" si="25"/>
        <v>Huyện Yên Mỹ - Hưng Yên</v>
      </c>
      <c r="D357" s="25" t="s">
        <v>3139</v>
      </c>
      <c r="E357" s="25" t="s">
        <v>3145</v>
      </c>
      <c r="F357" s="23">
        <f t="shared" si="26"/>
        <v>1</v>
      </c>
      <c r="G357" s="23">
        <f t="shared" si="27"/>
        <v>1</v>
      </c>
    </row>
    <row r="358" spans="1:7" x14ac:dyDescent="0.35">
      <c r="A358" s="25" t="s">
        <v>519</v>
      </c>
      <c r="B358" s="25" t="s">
        <v>2820</v>
      </c>
      <c r="C358" s="25" t="str">
        <f t="shared" si="25"/>
        <v>Thành phố Hưng Yên - Hưng Yên</v>
      </c>
      <c r="D358" s="25" t="s">
        <v>3142</v>
      </c>
      <c r="E358" s="25" t="s">
        <v>3145</v>
      </c>
      <c r="F358" s="23">
        <f t="shared" si="26"/>
        <v>1</v>
      </c>
      <c r="G358" s="23">
        <f t="shared" si="27"/>
        <v>1</v>
      </c>
    </row>
    <row r="359" spans="1:7" x14ac:dyDescent="0.35">
      <c r="A359" s="25" t="s">
        <v>713</v>
      </c>
      <c r="B359" s="25" t="s">
        <v>2643</v>
      </c>
      <c r="C359" s="25" t="str">
        <f t="shared" si="25"/>
        <v>Huyện Cam Lâm - Khánh Hòa</v>
      </c>
      <c r="D359" s="25" t="s">
        <v>3141</v>
      </c>
      <c r="E359" s="25" t="s">
        <v>3148</v>
      </c>
      <c r="F359" s="23">
        <f t="shared" si="26"/>
        <v>1</v>
      </c>
      <c r="G359" s="23">
        <f t="shared" si="27"/>
        <v>1</v>
      </c>
    </row>
    <row r="360" spans="1:7" x14ac:dyDescent="0.35">
      <c r="A360" s="25" t="s">
        <v>713</v>
      </c>
      <c r="B360" s="25" t="s">
        <v>2526</v>
      </c>
      <c r="C360" s="25" t="str">
        <f t="shared" si="25"/>
        <v>Huyện Diên Khánh - Khánh Hòa</v>
      </c>
      <c r="D360" s="25" t="s">
        <v>3141</v>
      </c>
      <c r="E360" s="25" t="s">
        <v>3148</v>
      </c>
      <c r="F360" s="23">
        <f t="shared" si="26"/>
        <v>1</v>
      </c>
      <c r="G360" s="23">
        <f t="shared" si="27"/>
        <v>1</v>
      </c>
    </row>
    <row r="361" spans="1:7" x14ac:dyDescent="0.35">
      <c r="A361" s="25" t="s">
        <v>713</v>
      </c>
      <c r="B361" s="25" t="s">
        <v>2703</v>
      </c>
      <c r="C361" s="25" t="str">
        <f t="shared" si="25"/>
        <v>Huyện Khánh Sơn - Khánh Hòa</v>
      </c>
      <c r="D361" s="25" t="s">
        <v>3139</v>
      </c>
      <c r="E361" s="25" t="s">
        <v>3148</v>
      </c>
      <c r="F361" s="23">
        <f t="shared" si="26"/>
        <v>1</v>
      </c>
      <c r="G361" s="23">
        <f t="shared" si="27"/>
        <v>1</v>
      </c>
    </row>
    <row r="362" spans="1:7" x14ac:dyDescent="0.35">
      <c r="A362" s="25" t="s">
        <v>713</v>
      </c>
      <c r="B362" s="25" t="s">
        <v>2558</v>
      </c>
      <c r="C362" s="25" t="str">
        <f t="shared" si="25"/>
        <v>Huyện Khánh Vĩnh - Khánh Hòa</v>
      </c>
      <c r="D362" s="25" t="s">
        <v>3139</v>
      </c>
      <c r="E362" s="25" t="s">
        <v>3148</v>
      </c>
      <c r="F362" s="23">
        <f t="shared" si="26"/>
        <v>1</v>
      </c>
      <c r="G362" s="23">
        <f t="shared" si="27"/>
        <v>1</v>
      </c>
    </row>
    <row r="363" spans="1:7" x14ac:dyDescent="0.35">
      <c r="A363" s="25" t="s">
        <v>713</v>
      </c>
      <c r="B363" s="25" t="s">
        <v>3163</v>
      </c>
      <c r="C363" s="25" t="str">
        <f t="shared" si="25"/>
        <v>Huyện Trường Sa - Khánh Hòa</v>
      </c>
      <c r="D363" s="25" t="s">
        <v>3139</v>
      </c>
      <c r="E363" s="25" t="s">
        <v>3148</v>
      </c>
      <c r="F363" s="23">
        <f t="shared" si="26"/>
        <v>1</v>
      </c>
      <c r="G363" s="23">
        <f t="shared" si="27"/>
        <v>1</v>
      </c>
    </row>
    <row r="364" spans="1:7" x14ac:dyDescent="0.35">
      <c r="A364" s="25" t="s">
        <v>713</v>
      </c>
      <c r="B364" s="25" t="s">
        <v>2607</v>
      </c>
      <c r="C364" s="25" t="str">
        <f t="shared" si="25"/>
        <v>Huyện Vạn Ninh - Khánh Hòa</v>
      </c>
      <c r="D364" s="25" t="s">
        <v>3139</v>
      </c>
      <c r="E364" s="25" t="s">
        <v>3148</v>
      </c>
      <c r="F364" s="23">
        <f t="shared" si="26"/>
        <v>1</v>
      </c>
      <c r="G364" s="23">
        <f t="shared" si="27"/>
        <v>1</v>
      </c>
    </row>
    <row r="365" spans="1:7" x14ac:dyDescent="0.35">
      <c r="A365" s="25" t="s">
        <v>713</v>
      </c>
      <c r="B365" s="25" t="s">
        <v>2499</v>
      </c>
      <c r="C365" s="25" t="str">
        <f t="shared" si="25"/>
        <v>Thành phố Cam Ranh - Khánh Hòa</v>
      </c>
      <c r="D365" s="25" t="s">
        <v>3142</v>
      </c>
      <c r="E365" s="25" t="s">
        <v>3148</v>
      </c>
      <c r="F365" s="23">
        <f t="shared" si="26"/>
        <v>1</v>
      </c>
      <c r="G365" s="23">
        <f t="shared" si="27"/>
        <v>1</v>
      </c>
    </row>
    <row r="366" spans="1:7" x14ac:dyDescent="0.35">
      <c r="A366" s="25" t="s">
        <v>713</v>
      </c>
      <c r="B366" s="25" t="s">
        <v>2505</v>
      </c>
      <c r="C366" s="25" t="str">
        <f t="shared" si="25"/>
        <v>Thành phố Nha Trang - Khánh Hòa</v>
      </c>
      <c r="D366" s="25" t="s">
        <v>3142</v>
      </c>
      <c r="E366" s="25" t="s">
        <v>3148</v>
      </c>
      <c r="F366" s="23">
        <f t="shared" si="26"/>
        <v>1</v>
      </c>
      <c r="G366" s="23">
        <f t="shared" si="27"/>
        <v>1</v>
      </c>
    </row>
    <row r="367" spans="1:7" x14ac:dyDescent="0.35">
      <c r="A367" s="25" t="s">
        <v>713</v>
      </c>
      <c r="B367" s="25" t="s">
        <v>2653</v>
      </c>
      <c r="C367" s="25" t="str">
        <f t="shared" si="25"/>
        <v>Thị xã Ninh Hòa - Khánh Hòa</v>
      </c>
      <c r="D367" s="25" t="s">
        <v>3139</v>
      </c>
      <c r="E367" s="25" t="s">
        <v>3148</v>
      </c>
      <c r="F367" s="23">
        <f t="shared" si="26"/>
        <v>1</v>
      </c>
      <c r="G367" s="23">
        <f t="shared" si="27"/>
        <v>1</v>
      </c>
    </row>
    <row r="368" spans="1:7" x14ac:dyDescent="0.35">
      <c r="A368" s="25" t="s">
        <v>502</v>
      </c>
      <c r="B368" s="25" t="s">
        <v>2568</v>
      </c>
      <c r="C368" s="25" t="str">
        <f t="shared" si="25"/>
        <v>Huyện An Biên - Kiên Giang</v>
      </c>
      <c r="D368" s="25" t="s">
        <v>3139</v>
      </c>
      <c r="E368" s="25" t="s">
        <v>3140</v>
      </c>
      <c r="F368" s="23">
        <f t="shared" si="26"/>
        <v>1</v>
      </c>
      <c r="G368" s="23">
        <f t="shared" si="27"/>
        <v>1</v>
      </c>
    </row>
    <row r="369" spans="1:7" x14ac:dyDescent="0.35">
      <c r="A369" s="25" t="s">
        <v>502</v>
      </c>
      <c r="B369" s="25" t="s">
        <v>2685</v>
      </c>
      <c r="C369" s="25" t="str">
        <f t="shared" si="25"/>
        <v>Huyện An Minh - Kiên Giang</v>
      </c>
      <c r="D369" s="25" t="s">
        <v>3139</v>
      </c>
      <c r="E369" s="25" t="s">
        <v>3140</v>
      </c>
      <c r="F369" s="23">
        <f t="shared" si="26"/>
        <v>1</v>
      </c>
      <c r="G369" s="23">
        <f t="shared" si="27"/>
        <v>1</v>
      </c>
    </row>
    <row r="370" spans="1:7" x14ac:dyDescent="0.35">
      <c r="A370" s="25" t="s">
        <v>502</v>
      </c>
      <c r="B370" s="25" t="s">
        <v>2523</v>
      </c>
      <c r="C370" s="25" t="str">
        <f t="shared" si="25"/>
        <v>Huyện Châu Thành - Kiên Giang</v>
      </c>
      <c r="D370" s="25" t="s">
        <v>3141</v>
      </c>
      <c r="E370" s="25" t="s">
        <v>3140</v>
      </c>
      <c r="F370" s="23">
        <f t="shared" si="26"/>
        <v>10</v>
      </c>
      <c r="G370" s="23">
        <f t="shared" si="27"/>
        <v>1</v>
      </c>
    </row>
    <row r="371" spans="1:7" x14ac:dyDescent="0.35">
      <c r="A371" s="25" t="s">
        <v>502</v>
      </c>
      <c r="B371" s="25" t="s">
        <v>2718</v>
      </c>
      <c r="C371" s="25" t="str">
        <f t="shared" si="25"/>
        <v>Huyện Giang Thành - Kiên Giang</v>
      </c>
      <c r="D371" s="25" t="s">
        <v>3139</v>
      </c>
      <c r="E371" s="25" t="s">
        <v>3140</v>
      </c>
      <c r="F371" s="23">
        <f t="shared" si="26"/>
        <v>1</v>
      </c>
      <c r="G371" s="23">
        <f t="shared" si="27"/>
        <v>1</v>
      </c>
    </row>
    <row r="372" spans="1:7" x14ac:dyDescent="0.35">
      <c r="A372" s="25" t="s">
        <v>502</v>
      </c>
      <c r="B372" s="25" t="s">
        <v>2618</v>
      </c>
      <c r="C372" s="25" t="str">
        <f t="shared" si="25"/>
        <v>Huyện Giồng Riềng - Kiên Giang</v>
      </c>
      <c r="D372" s="25" t="s">
        <v>3139</v>
      </c>
      <c r="E372" s="25" t="s">
        <v>3140</v>
      </c>
      <c r="F372" s="23">
        <f t="shared" si="26"/>
        <v>1</v>
      </c>
      <c r="G372" s="23">
        <f t="shared" si="27"/>
        <v>1</v>
      </c>
    </row>
    <row r="373" spans="1:7" x14ac:dyDescent="0.35">
      <c r="A373" s="25" t="s">
        <v>502</v>
      </c>
      <c r="B373" s="25" t="s">
        <v>2735</v>
      </c>
      <c r="C373" s="25" t="str">
        <f t="shared" si="25"/>
        <v>Huyện Gò Quao - Kiên Giang</v>
      </c>
      <c r="D373" s="25" t="s">
        <v>3139</v>
      </c>
      <c r="E373" s="25" t="s">
        <v>3140</v>
      </c>
      <c r="F373" s="23">
        <f t="shared" si="26"/>
        <v>1</v>
      </c>
      <c r="G373" s="23">
        <f t="shared" si="27"/>
        <v>1</v>
      </c>
    </row>
    <row r="374" spans="1:7" x14ac:dyDescent="0.35">
      <c r="A374" s="25" t="s">
        <v>502</v>
      </c>
      <c r="B374" s="25" t="s">
        <v>2592</v>
      </c>
      <c r="C374" s="25" t="str">
        <f t="shared" si="25"/>
        <v>Huyện Hòn Đất - Kiên Giang</v>
      </c>
      <c r="D374" s="25" t="s">
        <v>3139</v>
      </c>
      <c r="E374" s="25" t="s">
        <v>3140</v>
      </c>
      <c r="F374" s="23">
        <f t="shared" si="26"/>
        <v>1</v>
      </c>
      <c r="G374" s="23">
        <f t="shared" si="27"/>
        <v>1</v>
      </c>
    </row>
    <row r="375" spans="1:7" x14ac:dyDescent="0.35">
      <c r="A375" s="25" t="s">
        <v>502</v>
      </c>
      <c r="B375" s="26" t="s">
        <v>3094</v>
      </c>
      <c r="C375" s="25" t="str">
        <f t="shared" si="25"/>
        <v>Huyện đảo Kiên Hải - Kiên Giang</v>
      </c>
      <c r="D375" s="25" t="s">
        <v>3139</v>
      </c>
      <c r="E375" s="25" t="s">
        <v>3140</v>
      </c>
      <c r="F375" s="23">
        <f t="shared" si="26"/>
        <v>1</v>
      </c>
      <c r="G375" s="23">
        <f t="shared" si="27"/>
        <v>1</v>
      </c>
    </row>
    <row r="376" spans="1:7" x14ac:dyDescent="0.35">
      <c r="A376" s="25" t="s">
        <v>502</v>
      </c>
      <c r="B376" s="25" t="s">
        <v>2640</v>
      </c>
      <c r="C376" s="25" t="str">
        <f t="shared" si="25"/>
        <v>Huyện Kiên Lương - Kiên Giang</v>
      </c>
      <c r="D376" s="25" t="s">
        <v>3139</v>
      </c>
      <c r="E376" s="25" t="s">
        <v>3140</v>
      </c>
      <c r="F376" s="23">
        <f t="shared" si="26"/>
        <v>1</v>
      </c>
      <c r="G376" s="23">
        <f t="shared" si="27"/>
        <v>1</v>
      </c>
    </row>
    <row r="377" spans="1:7" x14ac:dyDescent="0.35">
      <c r="A377" s="25" t="s">
        <v>502</v>
      </c>
      <c r="B377" s="26" t="s">
        <v>2709</v>
      </c>
      <c r="C377" s="25" t="str">
        <f t="shared" si="25"/>
        <v>Huyện đảo Phú Quốc - Kiên Giang</v>
      </c>
      <c r="D377" s="25" t="s">
        <v>3139</v>
      </c>
      <c r="E377" s="25" t="s">
        <v>3140</v>
      </c>
      <c r="F377" s="23">
        <f t="shared" si="26"/>
        <v>1</v>
      </c>
      <c r="G377" s="23">
        <f t="shared" si="27"/>
        <v>1</v>
      </c>
    </row>
    <row r="378" spans="1:7" x14ac:dyDescent="0.35">
      <c r="A378" s="25" t="s">
        <v>502</v>
      </c>
      <c r="B378" s="25" t="s">
        <v>2603</v>
      </c>
      <c r="C378" s="25" t="str">
        <f t="shared" si="25"/>
        <v>Huyện Tân Hiệp - Kiên Giang</v>
      </c>
      <c r="D378" s="25" t="s">
        <v>3139</v>
      </c>
      <c r="E378" s="25" t="s">
        <v>3140</v>
      </c>
      <c r="F378" s="23">
        <f t="shared" si="26"/>
        <v>1</v>
      </c>
      <c r="G378" s="23">
        <f t="shared" si="27"/>
        <v>1</v>
      </c>
    </row>
    <row r="379" spans="1:7" x14ac:dyDescent="0.35">
      <c r="A379" s="25" t="s">
        <v>502</v>
      </c>
      <c r="B379" s="25" t="s">
        <v>2711</v>
      </c>
      <c r="C379" s="25" t="str">
        <f t="shared" si="25"/>
        <v>Huyện U Minh Thượng - Kiên Giang</v>
      </c>
      <c r="D379" s="25" t="s">
        <v>3139</v>
      </c>
      <c r="E379" s="25" t="s">
        <v>3140</v>
      </c>
      <c r="F379" s="23">
        <f t="shared" si="26"/>
        <v>1</v>
      </c>
      <c r="G379" s="23">
        <f t="shared" si="27"/>
        <v>1</v>
      </c>
    </row>
    <row r="380" spans="1:7" x14ac:dyDescent="0.35">
      <c r="A380" s="25" t="s">
        <v>502</v>
      </c>
      <c r="B380" s="25" t="s">
        <v>2731</v>
      </c>
      <c r="C380" s="25" t="str">
        <f t="shared" si="25"/>
        <v>Huyện Vĩnh Thuận - Kiên Giang</v>
      </c>
      <c r="D380" s="25" t="s">
        <v>3139</v>
      </c>
      <c r="E380" s="25" t="s">
        <v>3140</v>
      </c>
      <c r="F380" s="23">
        <f t="shared" si="26"/>
        <v>1</v>
      </c>
      <c r="G380" s="23">
        <f t="shared" si="27"/>
        <v>1</v>
      </c>
    </row>
    <row r="381" spans="1:7" x14ac:dyDescent="0.35">
      <c r="A381" s="25" t="s">
        <v>502</v>
      </c>
      <c r="B381" s="25" t="s">
        <v>2510</v>
      </c>
      <c r="C381" s="25" t="str">
        <f t="shared" si="25"/>
        <v>Thành phố Rạch Giá - Kiên Giang</v>
      </c>
      <c r="D381" s="25" t="s">
        <v>3142</v>
      </c>
      <c r="E381" s="25" t="s">
        <v>3140</v>
      </c>
      <c r="F381" s="23">
        <f t="shared" si="26"/>
        <v>1</v>
      </c>
      <c r="G381" s="23">
        <f t="shared" si="27"/>
        <v>1</v>
      </c>
    </row>
    <row r="382" spans="1:7" x14ac:dyDescent="0.35">
      <c r="A382" s="25" t="s">
        <v>502</v>
      </c>
      <c r="B382" s="25" t="s">
        <v>2649</v>
      </c>
      <c r="C382" s="25" t="str">
        <f t="shared" si="25"/>
        <v>Thị xã Hà Tiên - Kiên Giang</v>
      </c>
      <c r="D382" s="25" t="s">
        <v>3139</v>
      </c>
      <c r="E382" s="25" t="s">
        <v>3140</v>
      </c>
      <c r="F382" s="23">
        <f t="shared" si="26"/>
        <v>1</v>
      </c>
      <c r="G382" s="23">
        <f t="shared" si="27"/>
        <v>1</v>
      </c>
    </row>
    <row r="383" spans="1:7" x14ac:dyDescent="0.35">
      <c r="A383" s="25" t="s">
        <v>556</v>
      </c>
      <c r="B383" s="25" t="s">
        <v>2674</v>
      </c>
      <c r="C383" s="25" t="str">
        <f t="shared" si="25"/>
        <v>Huyện Đắk Glei - Kon Tum</v>
      </c>
      <c r="D383" s="25" t="s">
        <v>3139</v>
      </c>
      <c r="E383" s="25" t="s">
        <v>3140</v>
      </c>
      <c r="F383" s="23">
        <f t="shared" si="26"/>
        <v>1</v>
      </c>
      <c r="G383" s="23">
        <f t="shared" si="27"/>
        <v>1</v>
      </c>
    </row>
    <row r="384" spans="1:7" x14ac:dyDescent="0.35">
      <c r="A384" s="25" t="s">
        <v>556</v>
      </c>
      <c r="B384" s="26" t="s">
        <v>2580</v>
      </c>
      <c r="C384" s="25" t="str">
        <f t="shared" si="25"/>
        <v>Huyện Đak Hà - Kon Tum</v>
      </c>
      <c r="D384" s="25" t="s">
        <v>3141</v>
      </c>
      <c r="E384" s="25" t="s">
        <v>3140</v>
      </c>
      <c r="F384" s="23">
        <f t="shared" si="26"/>
        <v>1</v>
      </c>
      <c r="G384" s="23">
        <f t="shared" si="27"/>
        <v>1</v>
      </c>
    </row>
    <row r="385" spans="1:7" x14ac:dyDescent="0.35">
      <c r="A385" s="25" t="s">
        <v>556</v>
      </c>
      <c r="B385" s="26" t="s">
        <v>2582</v>
      </c>
      <c r="C385" s="25" t="str">
        <f t="shared" ref="C385" si="28">B385&amp;" - "&amp;A385</f>
        <v>Huyện Đắk Hà - Kon Tum</v>
      </c>
      <c r="D385" s="25" t="s">
        <v>3141</v>
      </c>
      <c r="E385" s="25" t="s">
        <v>3140</v>
      </c>
      <c r="F385" s="23">
        <f t="shared" si="26"/>
        <v>1</v>
      </c>
      <c r="G385" s="23">
        <f t="shared" si="27"/>
        <v>1</v>
      </c>
    </row>
    <row r="386" spans="1:7" x14ac:dyDescent="0.35">
      <c r="A386" s="25" t="s">
        <v>556</v>
      </c>
      <c r="B386" s="25" t="s">
        <v>2737</v>
      </c>
      <c r="C386" s="25" t="str">
        <f t="shared" si="25"/>
        <v>Huyện Đắk Tô - Kon Tum</v>
      </c>
      <c r="D386" s="25" t="s">
        <v>3139</v>
      </c>
      <c r="E386" s="25" t="s">
        <v>3140</v>
      </c>
      <c r="F386" s="23">
        <f t="shared" si="26"/>
        <v>1</v>
      </c>
      <c r="G386" s="23">
        <f t="shared" si="27"/>
        <v>1</v>
      </c>
    </row>
    <row r="387" spans="1:7" x14ac:dyDescent="0.35">
      <c r="A387" s="25" t="s">
        <v>556</v>
      </c>
      <c r="B387" s="26" t="s">
        <v>2736</v>
      </c>
      <c r="C387" s="25" t="str">
        <f t="shared" si="25"/>
        <v>Huyện Ia H Drai - Kon Tum</v>
      </c>
      <c r="D387" s="25" t="s">
        <v>3139</v>
      </c>
      <c r="E387" s="25" t="s">
        <v>3140</v>
      </c>
      <c r="F387" s="23">
        <f t="shared" si="26"/>
        <v>1</v>
      </c>
      <c r="G387" s="23">
        <f t="shared" si="27"/>
        <v>1</v>
      </c>
    </row>
    <row r="388" spans="1:7" x14ac:dyDescent="0.35">
      <c r="A388" s="25" t="s">
        <v>556</v>
      </c>
      <c r="B388" s="25" t="s">
        <v>2626</v>
      </c>
      <c r="C388" s="25" t="str">
        <f t="shared" si="25"/>
        <v>Huyện Kon Plông - Kon Tum</v>
      </c>
      <c r="D388" s="25" t="s">
        <v>3141</v>
      </c>
      <c r="E388" s="25" t="s">
        <v>3140</v>
      </c>
      <c r="F388" s="23">
        <f t="shared" si="26"/>
        <v>1</v>
      </c>
      <c r="G388" s="23">
        <f t="shared" si="27"/>
        <v>1</v>
      </c>
    </row>
    <row r="389" spans="1:7" x14ac:dyDescent="0.35">
      <c r="A389" s="25" t="s">
        <v>556</v>
      </c>
      <c r="B389" s="25" t="s">
        <v>2725</v>
      </c>
      <c r="C389" s="25" t="str">
        <f t="shared" si="25"/>
        <v>Huyện Kon Rẫy - Kon Tum</v>
      </c>
      <c r="D389" s="25" t="s">
        <v>3141</v>
      </c>
      <c r="E389" s="25" t="s">
        <v>3140</v>
      </c>
      <c r="F389" s="23">
        <f t="shared" si="26"/>
        <v>1</v>
      </c>
      <c r="G389" s="23">
        <f t="shared" si="27"/>
        <v>1</v>
      </c>
    </row>
    <row r="390" spans="1:7" x14ac:dyDescent="0.35">
      <c r="A390" s="25" t="s">
        <v>556</v>
      </c>
      <c r="B390" s="25" t="s">
        <v>2581</v>
      </c>
      <c r="C390" s="25" t="str">
        <f t="shared" si="25"/>
        <v>Huyện Ngọc Hồi - Kon Tum</v>
      </c>
      <c r="D390" s="25" t="s">
        <v>3139</v>
      </c>
      <c r="E390" s="25" t="s">
        <v>3140</v>
      </c>
      <c r="F390" s="23">
        <f t="shared" si="26"/>
        <v>1</v>
      </c>
      <c r="G390" s="23">
        <f t="shared" si="27"/>
        <v>1</v>
      </c>
    </row>
    <row r="391" spans="1:7" x14ac:dyDescent="0.35">
      <c r="A391" s="25" t="s">
        <v>556</v>
      </c>
      <c r="B391" s="25" t="s">
        <v>2566</v>
      </c>
      <c r="C391" s="25" t="str">
        <f t="shared" ref="C391:C454" si="29">B391&amp;" - "&amp;A391</f>
        <v>Huyện Sa Thầy - Kon Tum</v>
      </c>
      <c r="D391" s="25" t="s">
        <v>3141</v>
      </c>
      <c r="E391" s="25" t="s">
        <v>3140</v>
      </c>
      <c r="F391" s="23">
        <f t="shared" si="26"/>
        <v>1</v>
      </c>
      <c r="G391" s="23">
        <f t="shared" si="27"/>
        <v>1</v>
      </c>
    </row>
    <row r="392" spans="1:7" x14ac:dyDescent="0.35">
      <c r="A392" s="25" t="s">
        <v>556</v>
      </c>
      <c r="B392" s="25" t="s">
        <v>3164</v>
      </c>
      <c r="C392" s="25" t="str">
        <f t="shared" si="29"/>
        <v>Huyện Tu Mơ Rông - Kon Tum</v>
      </c>
      <c r="D392" s="25" t="s">
        <v>3139</v>
      </c>
      <c r="E392" s="25" t="s">
        <v>3140</v>
      </c>
      <c r="F392" s="23">
        <f t="shared" si="26"/>
        <v>1</v>
      </c>
      <c r="G392" s="23">
        <f t="shared" si="27"/>
        <v>1</v>
      </c>
    </row>
    <row r="393" spans="1:7" x14ac:dyDescent="0.35">
      <c r="A393" s="25" t="s">
        <v>556</v>
      </c>
      <c r="B393" s="25" t="s">
        <v>2502</v>
      </c>
      <c r="C393" s="25" t="str">
        <f t="shared" si="29"/>
        <v>Thành phố Kon Tum - Kon Tum</v>
      </c>
      <c r="D393" s="25" t="s">
        <v>3142</v>
      </c>
      <c r="E393" s="25" t="s">
        <v>3140</v>
      </c>
      <c r="F393" s="23">
        <f t="shared" si="26"/>
        <v>1</v>
      </c>
      <c r="G393" s="23">
        <f t="shared" si="27"/>
        <v>1</v>
      </c>
    </row>
    <row r="394" spans="1:7" x14ac:dyDescent="0.35">
      <c r="A394" s="25" t="s">
        <v>522</v>
      </c>
      <c r="B394" s="25" t="s">
        <v>3011</v>
      </c>
      <c r="C394" s="25" t="str">
        <f t="shared" si="29"/>
        <v>Huyện Mường Tè - Lai Châu</v>
      </c>
      <c r="D394" s="25" t="s">
        <v>3139</v>
      </c>
      <c r="E394" s="25" t="s">
        <v>3145</v>
      </c>
      <c r="F394" s="23">
        <f t="shared" ref="F394:F457" si="30">COUNTIF($B:$B,B394)</f>
        <v>1</v>
      </c>
      <c r="G394" s="23">
        <f t="shared" ref="G394:G457" si="31">COUNTIF($C:$C,C394)</f>
        <v>1</v>
      </c>
    </row>
    <row r="395" spans="1:7" x14ac:dyDescent="0.35">
      <c r="A395" s="25" t="s">
        <v>522</v>
      </c>
      <c r="B395" s="26" t="s">
        <v>2955</v>
      </c>
      <c r="C395" s="25" t="str">
        <f t="shared" si="29"/>
        <v>Huyện Nậm Nhùm - Lai Châu</v>
      </c>
      <c r="D395" s="25" t="s">
        <v>3139</v>
      </c>
      <c r="E395" s="25" t="s">
        <v>3145</v>
      </c>
      <c r="F395" s="23">
        <f t="shared" si="30"/>
        <v>1</v>
      </c>
      <c r="G395" s="23">
        <f t="shared" si="31"/>
        <v>1</v>
      </c>
    </row>
    <row r="396" spans="1:7" x14ac:dyDescent="0.35">
      <c r="A396" s="25" t="s">
        <v>522</v>
      </c>
      <c r="B396" s="25" t="s">
        <v>2971</v>
      </c>
      <c r="C396" s="25" t="str">
        <f t="shared" si="29"/>
        <v>Huyện Phong Thổ - Lai Châu</v>
      </c>
      <c r="D396" s="25" t="s">
        <v>3139</v>
      </c>
      <c r="E396" s="25" t="s">
        <v>3145</v>
      </c>
      <c r="F396" s="23">
        <f t="shared" si="30"/>
        <v>1</v>
      </c>
      <c r="G396" s="23">
        <f t="shared" si="31"/>
        <v>1</v>
      </c>
    </row>
    <row r="397" spans="1:7" x14ac:dyDescent="0.35">
      <c r="A397" s="25" t="s">
        <v>522</v>
      </c>
      <c r="B397" s="25" t="s">
        <v>3020</v>
      </c>
      <c r="C397" s="25" t="str">
        <f t="shared" si="29"/>
        <v>Huyện Sìn Hồ - Lai Châu</v>
      </c>
      <c r="D397" s="25" t="s">
        <v>3139</v>
      </c>
      <c r="E397" s="25" t="s">
        <v>3145</v>
      </c>
      <c r="F397" s="23">
        <f t="shared" si="30"/>
        <v>1</v>
      </c>
      <c r="G397" s="23">
        <f t="shared" si="31"/>
        <v>1</v>
      </c>
    </row>
    <row r="398" spans="1:7" x14ac:dyDescent="0.35">
      <c r="A398" s="25" t="s">
        <v>522</v>
      </c>
      <c r="B398" s="25" t="s">
        <v>2984</v>
      </c>
      <c r="C398" s="25" t="str">
        <f t="shared" si="29"/>
        <v>Huyện Tam Đường - Lai Châu</v>
      </c>
      <c r="D398" s="25" t="s">
        <v>3139</v>
      </c>
      <c r="E398" s="25" t="s">
        <v>3145</v>
      </c>
      <c r="F398" s="23">
        <f t="shared" si="30"/>
        <v>1</v>
      </c>
      <c r="G398" s="23">
        <f t="shared" si="31"/>
        <v>1</v>
      </c>
    </row>
    <row r="399" spans="1:7" x14ac:dyDescent="0.35">
      <c r="A399" s="25" t="s">
        <v>522</v>
      </c>
      <c r="B399" s="25" t="s">
        <v>3016</v>
      </c>
      <c r="C399" s="25" t="str">
        <f t="shared" si="29"/>
        <v>Huyện Tân Uyên - Lai Châu</v>
      </c>
      <c r="D399" s="25" t="s">
        <v>3139</v>
      </c>
      <c r="E399" s="25" t="s">
        <v>3145</v>
      </c>
      <c r="F399" s="23">
        <f t="shared" si="30"/>
        <v>1</v>
      </c>
      <c r="G399" s="23">
        <f t="shared" si="31"/>
        <v>1</v>
      </c>
    </row>
    <row r="400" spans="1:7" x14ac:dyDescent="0.35">
      <c r="A400" s="25" t="s">
        <v>522</v>
      </c>
      <c r="B400" s="25" t="s">
        <v>2956</v>
      </c>
      <c r="C400" s="25" t="str">
        <f t="shared" si="29"/>
        <v>Huyện Than Uyên - Lai Châu</v>
      </c>
      <c r="D400" s="25" t="s">
        <v>3139</v>
      </c>
      <c r="E400" s="25" t="s">
        <v>3145</v>
      </c>
      <c r="F400" s="23">
        <f t="shared" si="30"/>
        <v>1</v>
      </c>
      <c r="G400" s="23">
        <f t="shared" si="31"/>
        <v>1</v>
      </c>
    </row>
    <row r="401" spans="1:7" x14ac:dyDescent="0.35">
      <c r="A401" s="25" t="s">
        <v>522</v>
      </c>
      <c r="B401" s="25" t="s">
        <v>2821</v>
      </c>
      <c r="C401" s="25" t="str">
        <f t="shared" si="29"/>
        <v>Thành phố Lai Châu - Lai Châu</v>
      </c>
      <c r="D401" s="25" t="s">
        <v>3142</v>
      </c>
      <c r="E401" s="25" t="s">
        <v>3145</v>
      </c>
      <c r="F401" s="23">
        <f t="shared" si="30"/>
        <v>1</v>
      </c>
      <c r="G401" s="23">
        <f t="shared" si="31"/>
        <v>1</v>
      </c>
    </row>
    <row r="402" spans="1:7" x14ac:dyDescent="0.35">
      <c r="A402" s="25" t="s">
        <v>557</v>
      </c>
      <c r="B402" s="25" t="s">
        <v>2571</v>
      </c>
      <c r="C402" s="25" t="str">
        <f t="shared" si="29"/>
        <v>Huyện Bảo Lâm - Lâm Đồng</v>
      </c>
      <c r="D402" s="25" t="s">
        <v>3139</v>
      </c>
      <c r="E402" s="25" t="s">
        <v>3140</v>
      </c>
      <c r="F402" s="23">
        <f t="shared" si="30"/>
        <v>2</v>
      </c>
      <c r="G402" s="23">
        <f t="shared" si="31"/>
        <v>1</v>
      </c>
    </row>
    <row r="403" spans="1:7" x14ac:dyDescent="0.35">
      <c r="A403" s="25" t="s">
        <v>557</v>
      </c>
      <c r="B403" s="25" t="s">
        <v>2694</v>
      </c>
      <c r="C403" s="25" t="str">
        <f t="shared" si="29"/>
        <v>Huyện Cát Tiên - Lâm Đồng</v>
      </c>
      <c r="D403" s="25" t="s">
        <v>3139</v>
      </c>
      <c r="E403" s="25" t="s">
        <v>3140</v>
      </c>
      <c r="F403" s="23">
        <f t="shared" si="30"/>
        <v>1</v>
      </c>
      <c r="G403" s="23">
        <f t="shared" si="31"/>
        <v>1</v>
      </c>
    </row>
    <row r="404" spans="1:7" x14ac:dyDescent="0.35">
      <c r="A404" s="25" t="s">
        <v>557</v>
      </c>
      <c r="B404" s="25" t="s">
        <v>2722</v>
      </c>
      <c r="C404" s="25" t="str">
        <f t="shared" si="29"/>
        <v>Huyện Đạ Huoai - Lâm Đồng</v>
      </c>
      <c r="D404" s="25" t="s">
        <v>3139</v>
      </c>
      <c r="E404" s="25" t="s">
        <v>3140</v>
      </c>
      <c r="F404" s="23">
        <f t="shared" si="30"/>
        <v>1</v>
      </c>
      <c r="G404" s="23">
        <f t="shared" si="31"/>
        <v>1</v>
      </c>
    </row>
    <row r="405" spans="1:7" x14ac:dyDescent="0.35">
      <c r="A405" s="25" t="s">
        <v>557</v>
      </c>
      <c r="B405" s="25" t="s">
        <v>2717</v>
      </c>
      <c r="C405" s="25" t="str">
        <f t="shared" si="29"/>
        <v>Huyện Đạ Tẻh - Lâm Đồng</v>
      </c>
      <c r="D405" s="25" t="s">
        <v>3139</v>
      </c>
      <c r="E405" s="25" t="s">
        <v>3140</v>
      </c>
      <c r="F405" s="23">
        <f t="shared" si="30"/>
        <v>1</v>
      </c>
      <c r="G405" s="23">
        <f t="shared" si="31"/>
        <v>1</v>
      </c>
    </row>
    <row r="406" spans="1:7" x14ac:dyDescent="0.35">
      <c r="A406" s="25" t="s">
        <v>557</v>
      </c>
      <c r="B406" s="25" t="s">
        <v>2652</v>
      </c>
      <c r="C406" s="25" t="str">
        <f t="shared" si="29"/>
        <v>Huyện Đam Rông - Lâm Đồng</v>
      </c>
      <c r="D406" s="25" t="s">
        <v>3139</v>
      </c>
      <c r="E406" s="25" t="s">
        <v>3140</v>
      </c>
      <c r="F406" s="23">
        <f t="shared" si="30"/>
        <v>1</v>
      </c>
      <c r="G406" s="23">
        <f t="shared" si="31"/>
        <v>1</v>
      </c>
    </row>
    <row r="407" spans="1:7" x14ac:dyDescent="0.35">
      <c r="A407" s="25" t="s">
        <v>557</v>
      </c>
      <c r="B407" s="25" t="s">
        <v>2691</v>
      </c>
      <c r="C407" s="25" t="str">
        <f t="shared" si="29"/>
        <v>Huyện Di Linh - Lâm Đồng</v>
      </c>
      <c r="D407" s="25" t="s">
        <v>3139</v>
      </c>
      <c r="E407" s="25" t="s">
        <v>3140</v>
      </c>
      <c r="F407" s="23">
        <f t="shared" si="30"/>
        <v>1</v>
      </c>
      <c r="G407" s="23">
        <f t="shared" si="31"/>
        <v>1</v>
      </c>
    </row>
    <row r="408" spans="1:7" x14ac:dyDescent="0.35">
      <c r="A408" s="25" t="s">
        <v>557</v>
      </c>
      <c r="B408" s="25" t="s">
        <v>2585</v>
      </c>
      <c r="C408" s="25" t="str">
        <f t="shared" si="29"/>
        <v>Huyện Đơn Dương - Lâm Đồng</v>
      </c>
      <c r="D408" s="25" t="s">
        <v>3139</v>
      </c>
      <c r="E408" s="25" t="s">
        <v>3140</v>
      </c>
      <c r="F408" s="23">
        <f t="shared" si="30"/>
        <v>1</v>
      </c>
      <c r="G408" s="23">
        <f t="shared" si="31"/>
        <v>1</v>
      </c>
    </row>
    <row r="409" spans="1:7" x14ac:dyDescent="0.35">
      <c r="A409" s="25" t="s">
        <v>557</v>
      </c>
      <c r="B409" s="25" t="s">
        <v>2587</v>
      </c>
      <c r="C409" s="25" t="str">
        <f t="shared" si="29"/>
        <v>Huyện Đức Trọng - Lâm Đồng</v>
      </c>
      <c r="D409" s="25" t="s">
        <v>3139</v>
      </c>
      <c r="E409" s="25" t="s">
        <v>3140</v>
      </c>
      <c r="F409" s="23">
        <f t="shared" si="30"/>
        <v>1</v>
      </c>
      <c r="G409" s="23">
        <f t="shared" si="31"/>
        <v>1</v>
      </c>
    </row>
    <row r="410" spans="1:7" x14ac:dyDescent="0.35">
      <c r="A410" s="25" t="s">
        <v>557</v>
      </c>
      <c r="B410" s="25" t="s">
        <v>2549</v>
      </c>
      <c r="C410" s="25" t="str">
        <f t="shared" si="29"/>
        <v>Huyện Lạc Dương - Lâm Đồng</v>
      </c>
      <c r="D410" s="25" t="s">
        <v>3141</v>
      </c>
      <c r="E410" s="25" t="s">
        <v>3140</v>
      </c>
      <c r="F410" s="23">
        <f t="shared" si="30"/>
        <v>1</v>
      </c>
      <c r="G410" s="23">
        <f t="shared" si="31"/>
        <v>1</v>
      </c>
    </row>
    <row r="411" spans="1:7" x14ac:dyDescent="0.35">
      <c r="A411" s="25" t="s">
        <v>557</v>
      </c>
      <c r="B411" s="25" t="s">
        <v>2648</v>
      </c>
      <c r="C411" s="25" t="str">
        <f t="shared" si="29"/>
        <v>Huyện Lâm Hà - Lâm Đồng</v>
      </c>
      <c r="D411" s="25" t="s">
        <v>3139</v>
      </c>
      <c r="E411" s="25" t="s">
        <v>3140</v>
      </c>
      <c r="F411" s="23">
        <f t="shared" si="30"/>
        <v>1</v>
      </c>
      <c r="G411" s="23">
        <f t="shared" si="31"/>
        <v>1</v>
      </c>
    </row>
    <row r="412" spans="1:7" x14ac:dyDescent="0.35">
      <c r="A412" s="25" t="s">
        <v>557</v>
      </c>
      <c r="B412" s="25" t="s">
        <v>3165</v>
      </c>
      <c r="C412" s="25" t="str">
        <f t="shared" si="29"/>
        <v>Thành phố Bảo Lộc - Lâm Đồng</v>
      </c>
      <c r="D412" s="25" t="s">
        <v>3139</v>
      </c>
      <c r="E412" s="25" t="s">
        <v>3140</v>
      </c>
      <c r="F412" s="23">
        <f t="shared" si="30"/>
        <v>1</v>
      </c>
      <c r="G412" s="23">
        <f t="shared" si="31"/>
        <v>1</v>
      </c>
    </row>
    <row r="413" spans="1:7" x14ac:dyDescent="0.35">
      <c r="A413" s="25" t="s">
        <v>557</v>
      </c>
      <c r="B413" s="25" t="s">
        <v>2501</v>
      </c>
      <c r="C413" s="25" t="str">
        <f t="shared" si="29"/>
        <v>Thành phố Đà Lạt - Lâm Đồng</v>
      </c>
      <c r="D413" s="25" t="s">
        <v>3142</v>
      </c>
      <c r="E413" s="25" t="s">
        <v>3140</v>
      </c>
      <c r="F413" s="23">
        <f t="shared" si="30"/>
        <v>1</v>
      </c>
      <c r="G413" s="23">
        <f t="shared" si="31"/>
        <v>1</v>
      </c>
    </row>
    <row r="414" spans="1:7" x14ac:dyDescent="0.35">
      <c r="A414" s="25" t="s">
        <v>521</v>
      </c>
      <c r="B414" s="25" t="s">
        <v>3029</v>
      </c>
      <c r="C414" s="25" t="str">
        <f t="shared" si="29"/>
        <v>Huyện Bắc Sơn - Lạng Sơn</v>
      </c>
      <c r="D414" s="25" t="s">
        <v>3139</v>
      </c>
      <c r="E414" s="25" t="s">
        <v>3145</v>
      </c>
      <c r="F414" s="23">
        <f t="shared" si="30"/>
        <v>1</v>
      </c>
      <c r="G414" s="23">
        <f t="shared" si="31"/>
        <v>1</v>
      </c>
    </row>
    <row r="415" spans="1:7" x14ac:dyDescent="0.35">
      <c r="A415" s="25" t="s">
        <v>521</v>
      </c>
      <c r="B415" s="25" t="s">
        <v>3026</v>
      </c>
      <c r="C415" s="25" t="str">
        <f t="shared" si="29"/>
        <v>Huyện Bình Gia - Lạng Sơn</v>
      </c>
      <c r="D415" s="25" t="s">
        <v>3139</v>
      </c>
      <c r="E415" s="25" t="s">
        <v>3145</v>
      </c>
      <c r="F415" s="23">
        <f t="shared" si="30"/>
        <v>1</v>
      </c>
      <c r="G415" s="23">
        <f t="shared" si="31"/>
        <v>1</v>
      </c>
    </row>
    <row r="416" spans="1:7" x14ac:dyDescent="0.35">
      <c r="A416" s="25" t="s">
        <v>521</v>
      </c>
      <c r="B416" s="25" t="s">
        <v>2871</v>
      </c>
      <c r="C416" s="25" t="str">
        <f t="shared" si="29"/>
        <v>Huyện Cao Lộc - Lạng Sơn</v>
      </c>
      <c r="D416" s="25" t="s">
        <v>3139</v>
      </c>
      <c r="E416" s="25" t="s">
        <v>3145</v>
      </c>
      <c r="F416" s="23">
        <f t="shared" si="30"/>
        <v>1</v>
      </c>
      <c r="G416" s="23">
        <f t="shared" si="31"/>
        <v>1</v>
      </c>
    </row>
    <row r="417" spans="1:7" x14ac:dyDescent="0.35">
      <c r="A417" s="25" t="s">
        <v>521</v>
      </c>
      <c r="B417" s="25" t="s">
        <v>3037</v>
      </c>
      <c r="C417" s="25" t="str">
        <f t="shared" si="29"/>
        <v>Huyện Chi Lăng - Lạng Sơn</v>
      </c>
      <c r="D417" s="25" t="s">
        <v>3139</v>
      </c>
      <c r="E417" s="25" t="s">
        <v>3145</v>
      </c>
      <c r="F417" s="23">
        <f t="shared" si="30"/>
        <v>1</v>
      </c>
      <c r="G417" s="23">
        <f t="shared" si="31"/>
        <v>1</v>
      </c>
    </row>
    <row r="418" spans="1:7" x14ac:dyDescent="0.35">
      <c r="A418" s="25" t="s">
        <v>521</v>
      </c>
      <c r="B418" s="25" t="s">
        <v>3027</v>
      </c>
      <c r="C418" s="25" t="str">
        <f t="shared" si="29"/>
        <v>Huyện Đình Lập - Lạng Sơn</v>
      </c>
      <c r="D418" s="25" t="s">
        <v>3139</v>
      </c>
      <c r="E418" s="25" t="s">
        <v>3145</v>
      </c>
      <c r="F418" s="23">
        <f t="shared" si="30"/>
        <v>1</v>
      </c>
      <c r="G418" s="23">
        <f t="shared" si="31"/>
        <v>1</v>
      </c>
    </row>
    <row r="419" spans="1:7" x14ac:dyDescent="0.35">
      <c r="A419" s="25" t="s">
        <v>521</v>
      </c>
      <c r="B419" s="25" t="s">
        <v>2987</v>
      </c>
      <c r="C419" s="25" t="str">
        <f t="shared" si="29"/>
        <v>Huyện Hữu Lũng - Lạng Sơn</v>
      </c>
      <c r="D419" s="25" t="s">
        <v>3139</v>
      </c>
      <c r="E419" s="25" t="s">
        <v>3145</v>
      </c>
      <c r="F419" s="23">
        <f t="shared" si="30"/>
        <v>1</v>
      </c>
      <c r="G419" s="23">
        <f t="shared" si="31"/>
        <v>1</v>
      </c>
    </row>
    <row r="420" spans="1:7" x14ac:dyDescent="0.35">
      <c r="A420" s="25" t="s">
        <v>521</v>
      </c>
      <c r="B420" s="25" t="s">
        <v>2870</v>
      </c>
      <c r="C420" s="25" t="str">
        <f t="shared" si="29"/>
        <v>Huyện Lộc Bình - Lạng Sơn</v>
      </c>
      <c r="D420" s="25" t="s">
        <v>3139</v>
      </c>
      <c r="E420" s="25" t="s">
        <v>3145</v>
      </c>
      <c r="F420" s="23">
        <f t="shared" si="30"/>
        <v>1</v>
      </c>
      <c r="G420" s="23">
        <f t="shared" si="31"/>
        <v>1</v>
      </c>
    </row>
    <row r="421" spans="1:7" x14ac:dyDescent="0.35">
      <c r="A421" s="25" t="s">
        <v>521</v>
      </c>
      <c r="B421" s="25" t="s">
        <v>2988</v>
      </c>
      <c r="C421" s="25" t="str">
        <f t="shared" si="29"/>
        <v>Huyện Tràng Định - Lạng Sơn</v>
      </c>
      <c r="D421" s="25" t="s">
        <v>3139</v>
      </c>
      <c r="E421" s="25" t="s">
        <v>3145</v>
      </c>
      <c r="F421" s="23">
        <f t="shared" si="30"/>
        <v>1</v>
      </c>
      <c r="G421" s="23">
        <f t="shared" si="31"/>
        <v>1</v>
      </c>
    </row>
    <row r="422" spans="1:7" x14ac:dyDescent="0.35">
      <c r="A422" s="25" t="s">
        <v>521</v>
      </c>
      <c r="B422" s="25" t="s">
        <v>3042</v>
      </c>
      <c r="C422" s="25" t="str">
        <f t="shared" si="29"/>
        <v>Huyện Văn Lãng - Lạng Sơn</v>
      </c>
      <c r="D422" s="25" t="s">
        <v>3139</v>
      </c>
      <c r="E422" s="25" t="s">
        <v>3145</v>
      </c>
      <c r="F422" s="23">
        <f t="shared" si="30"/>
        <v>1</v>
      </c>
      <c r="G422" s="23">
        <f t="shared" si="31"/>
        <v>1</v>
      </c>
    </row>
    <row r="423" spans="1:7" x14ac:dyDescent="0.35">
      <c r="A423" s="25" t="s">
        <v>521</v>
      </c>
      <c r="B423" s="25" t="s">
        <v>3049</v>
      </c>
      <c r="C423" s="25" t="str">
        <f t="shared" si="29"/>
        <v>Huyện Văn Quan - Lạng Sơn</v>
      </c>
      <c r="D423" s="25" t="s">
        <v>3139</v>
      </c>
      <c r="E423" s="25" t="s">
        <v>3145</v>
      </c>
      <c r="F423" s="23">
        <f t="shared" si="30"/>
        <v>1</v>
      </c>
      <c r="G423" s="23">
        <f t="shared" si="31"/>
        <v>1</v>
      </c>
    </row>
    <row r="424" spans="1:7" x14ac:dyDescent="0.35">
      <c r="A424" s="25" t="s">
        <v>521</v>
      </c>
      <c r="B424" s="25" t="s">
        <v>2822</v>
      </c>
      <c r="C424" s="25" t="str">
        <f t="shared" si="29"/>
        <v>Thành phố Lạng Sơn - Lạng Sơn</v>
      </c>
      <c r="D424" s="25" t="s">
        <v>3142</v>
      </c>
      <c r="E424" s="25" t="s">
        <v>3145</v>
      </c>
      <c r="F424" s="23">
        <f t="shared" si="30"/>
        <v>1</v>
      </c>
      <c r="G424" s="23">
        <f t="shared" si="31"/>
        <v>1</v>
      </c>
    </row>
    <row r="425" spans="1:7" x14ac:dyDescent="0.35">
      <c r="A425" s="25" t="s">
        <v>520</v>
      </c>
      <c r="B425" s="25" t="s">
        <v>3004</v>
      </c>
      <c r="C425" s="25" t="str">
        <f t="shared" si="29"/>
        <v>Huyện Bắc Hà - Lào Cai</v>
      </c>
      <c r="D425" s="25" t="s">
        <v>3139</v>
      </c>
      <c r="E425" s="25" t="s">
        <v>3145</v>
      </c>
      <c r="F425" s="23">
        <f t="shared" si="30"/>
        <v>1</v>
      </c>
      <c r="G425" s="23">
        <f t="shared" si="31"/>
        <v>1</v>
      </c>
    </row>
    <row r="426" spans="1:7" x14ac:dyDescent="0.35">
      <c r="A426" s="25" t="s">
        <v>520</v>
      </c>
      <c r="B426" s="25" t="s">
        <v>3072</v>
      </c>
      <c r="C426" s="25" t="str">
        <f t="shared" si="29"/>
        <v>Huyện Bảo Thắng - Lào Cai</v>
      </c>
      <c r="D426" s="25" t="s">
        <v>3141</v>
      </c>
      <c r="E426" s="25" t="s">
        <v>3145</v>
      </c>
      <c r="F426" s="23">
        <f t="shared" si="30"/>
        <v>1</v>
      </c>
      <c r="G426" s="23">
        <f t="shared" si="31"/>
        <v>1</v>
      </c>
    </row>
    <row r="427" spans="1:7" x14ac:dyDescent="0.35">
      <c r="A427" s="25" t="s">
        <v>520</v>
      </c>
      <c r="B427" s="25" t="s">
        <v>2962</v>
      </c>
      <c r="C427" s="25" t="str">
        <f t="shared" si="29"/>
        <v>Huyện Bảo Yên - Lào Cai</v>
      </c>
      <c r="D427" s="25" t="s">
        <v>3139</v>
      </c>
      <c r="E427" s="25" t="s">
        <v>3145</v>
      </c>
      <c r="F427" s="23">
        <f t="shared" si="30"/>
        <v>1</v>
      </c>
      <c r="G427" s="23">
        <f t="shared" si="31"/>
        <v>1</v>
      </c>
    </row>
    <row r="428" spans="1:7" x14ac:dyDescent="0.35">
      <c r="A428" s="25" t="s">
        <v>520</v>
      </c>
      <c r="B428" s="25" t="s">
        <v>2836</v>
      </c>
      <c r="C428" s="25" t="str">
        <f t="shared" si="29"/>
        <v>Huyện Bát Xát - Lào Cai</v>
      </c>
      <c r="D428" s="25" t="s">
        <v>3139</v>
      </c>
      <c r="E428" s="25" t="s">
        <v>3145</v>
      </c>
      <c r="F428" s="23">
        <f t="shared" si="30"/>
        <v>1</v>
      </c>
      <c r="G428" s="23">
        <f t="shared" si="31"/>
        <v>1</v>
      </c>
    </row>
    <row r="429" spans="1:7" x14ac:dyDescent="0.35">
      <c r="A429" s="25" t="s">
        <v>520</v>
      </c>
      <c r="B429" s="25" t="s">
        <v>3073</v>
      </c>
      <c r="C429" s="25" t="str">
        <f t="shared" si="29"/>
        <v>Huyện Mường Khương - Lào Cai</v>
      </c>
      <c r="D429" s="25" t="s">
        <v>3139</v>
      </c>
      <c r="E429" s="25" t="s">
        <v>3145</v>
      </c>
      <c r="F429" s="23">
        <f t="shared" si="30"/>
        <v>1</v>
      </c>
      <c r="G429" s="23">
        <f t="shared" si="31"/>
        <v>1</v>
      </c>
    </row>
    <row r="430" spans="1:7" x14ac:dyDescent="0.35">
      <c r="A430" s="25" t="s">
        <v>520</v>
      </c>
      <c r="B430" s="25" t="s">
        <v>2982</v>
      </c>
      <c r="C430" s="25" t="str">
        <f t="shared" si="29"/>
        <v>Huyện Sa Pa - Lào Cai</v>
      </c>
      <c r="D430" s="25" t="s">
        <v>3139</v>
      </c>
      <c r="E430" s="25" t="s">
        <v>3145</v>
      </c>
      <c r="F430" s="23">
        <f t="shared" si="30"/>
        <v>1</v>
      </c>
      <c r="G430" s="23">
        <f t="shared" si="31"/>
        <v>1</v>
      </c>
    </row>
    <row r="431" spans="1:7" x14ac:dyDescent="0.35">
      <c r="A431" s="25" t="s">
        <v>520</v>
      </c>
      <c r="B431" s="26" t="s">
        <v>3083</v>
      </c>
      <c r="C431" s="25" t="str">
        <f t="shared" si="29"/>
        <v>Huyện Xi Ma Cai - Lào Cai</v>
      </c>
      <c r="D431" s="25" t="s">
        <v>3139</v>
      </c>
      <c r="E431" s="25" t="s">
        <v>3145</v>
      </c>
      <c r="F431" s="23">
        <f t="shared" si="30"/>
        <v>1</v>
      </c>
      <c r="G431" s="23">
        <f t="shared" si="31"/>
        <v>1</v>
      </c>
    </row>
    <row r="432" spans="1:7" x14ac:dyDescent="0.35">
      <c r="A432" s="25" t="s">
        <v>520</v>
      </c>
      <c r="B432" s="25" t="s">
        <v>3031</v>
      </c>
      <c r="C432" s="25" t="str">
        <f t="shared" si="29"/>
        <v>Huyện Văn Bàn - Lào Cai</v>
      </c>
      <c r="D432" s="25" t="s">
        <v>3139</v>
      </c>
      <c r="E432" s="25" t="s">
        <v>3145</v>
      </c>
      <c r="F432" s="23">
        <f t="shared" si="30"/>
        <v>1</v>
      </c>
      <c r="G432" s="23">
        <f t="shared" si="31"/>
        <v>1</v>
      </c>
    </row>
    <row r="433" spans="1:7" x14ac:dyDescent="0.35">
      <c r="A433" s="25" t="s">
        <v>520</v>
      </c>
      <c r="B433" s="25" t="s">
        <v>2823</v>
      </c>
      <c r="C433" s="25" t="str">
        <f t="shared" si="29"/>
        <v>Thành phố Lào Cai - Lào Cai</v>
      </c>
      <c r="D433" s="25" t="s">
        <v>3142</v>
      </c>
      <c r="E433" s="25" t="s">
        <v>3145</v>
      </c>
      <c r="F433" s="23">
        <f t="shared" si="30"/>
        <v>1</v>
      </c>
      <c r="G433" s="23">
        <f t="shared" si="31"/>
        <v>1</v>
      </c>
    </row>
    <row r="434" spans="1:7" x14ac:dyDescent="0.35">
      <c r="A434" s="25" t="s">
        <v>558</v>
      </c>
      <c r="B434" s="25" t="s">
        <v>2539</v>
      </c>
      <c r="C434" s="25" t="str">
        <f t="shared" si="29"/>
        <v>Huyện Bến Lức - Long An</v>
      </c>
      <c r="D434" s="25" t="s">
        <v>3141</v>
      </c>
      <c r="E434" s="25" t="s">
        <v>3140</v>
      </c>
      <c r="F434" s="23">
        <f t="shared" si="30"/>
        <v>1</v>
      </c>
      <c r="G434" s="23">
        <f t="shared" si="31"/>
        <v>1</v>
      </c>
    </row>
    <row r="435" spans="1:7" x14ac:dyDescent="0.35">
      <c r="A435" s="25" t="s">
        <v>558</v>
      </c>
      <c r="B435" s="25" t="s">
        <v>2629</v>
      </c>
      <c r="C435" s="25" t="str">
        <f t="shared" si="29"/>
        <v>Huyện Cần Đước - Long An</v>
      </c>
      <c r="D435" s="25" t="s">
        <v>3139</v>
      </c>
      <c r="E435" s="25" t="s">
        <v>3140</v>
      </c>
      <c r="F435" s="23">
        <f t="shared" si="30"/>
        <v>1</v>
      </c>
      <c r="G435" s="23">
        <f t="shared" si="31"/>
        <v>1</v>
      </c>
    </row>
    <row r="436" spans="1:7" x14ac:dyDescent="0.35">
      <c r="A436" s="25" t="s">
        <v>558</v>
      </c>
      <c r="B436" s="25" t="s">
        <v>2630</v>
      </c>
      <c r="C436" s="25" t="str">
        <f t="shared" si="29"/>
        <v>Huyện Cần Giuộc - Long An</v>
      </c>
      <c r="D436" s="25" t="s">
        <v>3139</v>
      </c>
      <c r="E436" s="25" t="s">
        <v>3140</v>
      </c>
      <c r="F436" s="23">
        <f t="shared" si="30"/>
        <v>1</v>
      </c>
      <c r="G436" s="23">
        <f t="shared" si="31"/>
        <v>1</v>
      </c>
    </row>
    <row r="437" spans="1:7" x14ac:dyDescent="0.35">
      <c r="A437" s="25" t="s">
        <v>558</v>
      </c>
      <c r="B437" s="25" t="s">
        <v>2523</v>
      </c>
      <c r="C437" s="25" t="str">
        <f t="shared" si="29"/>
        <v>Huyện Châu Thành - Long An</v>
      </c>
      <c r="D437" s="25" t="s">
        <v>3141</v>
      </c>
      <c r="E437" s="25" t="s">
        <v>3140</v>
      </c>
      <c r="F437" s="23">
        <f t="shared" si="30"/>
        <v>10</v>
      </c>
      <c r="G437" s="23">
        <f t="shared" si="31"/>
        <v>1</v>
      </c>
    </row>
    <row r="438" spans="1:7" x14ac:dyDescent="0.35">
      <c r="A438" s="25" t="s">
        <v>558</v>
      </c>
      <c r="B438" s="25" t="s">
        <v>2655</v>
      </c>
      <c r="C438" s="25" t="str">
        <f t="shared" si="29"/>
        <v>Huyện Đức Hòa - Long An</v>
      </c>
      <c r="D438" s="25" t="s">
        <v>3139</v>
      </c>
      <c r="E438" s="25" t="s">
        <v>3140</v>
      </c>
      <c r="F438" s="23">
        <f t="shared" si="30"/>
        <v>1</v>
      </c>
      <c r="G438" s="23">
        <f t="shared" si="31"/>
        <v>1</v>
      </c>
    </row>
    <row r="439" spans="1:7" x14ac:dyDescent="0.35">
      <c r="A439" s="25" t="s">
        <v>558</v>
      </c>
      <c r="B439" s="25" t="s">
        <v>2741</v>
      </c>
      <c r="C439" s="25" t="str">
        <f t="shared" si="29"/>
        <v>Huyện Đức Huệ - Long An</v>
      </c>
      <c r="D439" s="25" t="s">
        <v>3139</v>
      </c>
      <c r="E439" s="25" t="s">
        <v>3140</v>
      </c>
      <c r="F439" s="23">
        <f t="shared" si="30"/>
        <v>1</v>
      </c>
      <c r="G439" s="23">
        <f t="shared" si="31"/>
        <v>1</v>
      </c>
    </row>
    <row r="440" spans="1:7" x14ac:dyDescent="0.35">
      <c r="A440" s="25" t="s">
        <v>558</v>
      </c>
      <c r="B440" s="25" t="s">
        <v>2693</v>
      </c>
      <c r="C440" s="25" t="str">
        <f t="shared" si="29"/>
        <v>Huyện Mộc Hóa - Long An</v>
      </c>
      <c r="D440" s="25" t="s">
        <v>3139</v>
      </c>
      <c r="E440" s="25" t="s">
        <v>3140</v>
      </c>
      <c r="F440" s="23">
        <f t="shared" si="30"/>
        <v>1</v>
      </c>
      <c r="G440" s="23">
        <f t="shared" si="31"/>
        <v>1</v>
      </c>
    </row>
    <row r="441" spans="1:7" x14ac:dyDescent="0.35">
      <c r="A441" s="25" t="s">
        <v>558</v>
      </c>
      <c r="B441" s="25" t="s">
        <v>2704</v>
      </c>
      <c r="C441" s="25" t="str">
        <f t="shared" si="29"/>
        <v>Huyện Tân Hưng - Long An</v>
      </c>
      <c r="D441" s="25" t="s">
        <v>3139</v>
      </c>
      <c r="E441" s="25" t="s">
        <v>3140</v>
      </c>
      <c r="F441" s="23">
        <f t="shared" si="30"/>
        <v>1</v>
      </c>
      <c r="G441" s="23">
        <f t="shared" si="31"/>
        <v>1</v>
      </c>
    </row>
    <row r="442" spans="1:7" x14ac:dyDescent="0.35">
      <c r="A442" s="25" t="s">
        <v>558</v>
      </c>
      <c r="B442" s="25" t="s">
        <v>2705</v>
      </c>
      <c r="C442" s="25" t="str">
        <f t="shared" si="29"/>
        <v>Huyện Tân Thạnh - Long An</v>
      </c>
      <c r="D442" s="25" t="s">
        <v>3139</v>
      </c>
      <c r="E442" s="25" t="s">
        <v>3140</v>
      </c>
      <c r="F442" s="23">
        <f t="shared" si="30"/>
        <v>1</v>
      </c>
      <c r="G442" s="23">
        <f t="shared" si="31"/>
        <v>1</v>
      </c>
    </row>
    <row r="443" spans="1:7" x14ac:dyDescent="0.35">
      <c r="A443" s="25" t="s">
        <v>558</v>
      </c>
      <c r="B443" s="25" t="s">
        <v>2550</v>
      </c>
      <c r="C443" s="25" t="str">
        <f t="shared" si="29"/>
        <v>Huyện Tân Trụ - Long An</v>
      </c>
      <c r="D443" s="25" t="s">
        <v>3141</v>
      </c>
      <c r="E443" s="25" t="s">
        <v>3140</v>
      </c>
      <c r="F443" s="23">
        <f t="shared" si="30"/>
        <v>1</v>
      </c>
      <c r="G443" s="23">
        <f t="shared" si="31"/>
        <v>1</v>
      </c>
    </row>
    <row r="444" spans="1:7" x14ac:dyDescent="0.35">
      <c r="A444" s="25" t="s">
        <v>558</v>
      </c>
      <c r="B444" s="25" t="s">
        <v>2696</v>
      </c>
      <c r="C444" s="25" t="str">
        <f t="shared" si="29"/>
        <v>Huyện Thạnh Hóa - Long An</v>
      </c>
      <c r="D444" s="25" t="s">
        <v>3139</v>
      </c>
      <c r="E444" s="25" t="s">
        <v>3140</v>
      </c>
      <c r="F444" s="23">
        <f t="shared" si="30"/>
        <v>1</v>
      </c>
      <c r="G444" s="23">
        <f t="shared" si="31"/>
        <v>1</v>
      </c>
    </row>
    <row r="445" spans="1:7" x14ac:dyDescent="0.35">
      <c r="A445" s="25" t="s">
        <v>558</v>
      </c>
      <c r="B445" s="25" t="s">
        <v>2542</v>
      </c>
      <c r="C445" s="25" t="str">
        <f t="shared" si="29"/>
        <v>Huyện Thủ Thừa - Long An</v>
      </c>
      <c r="D445" s="25" t="s">
        <v>3141</v>
      </c>
      <c r="E445" s="25" t="s">
        <v>3140</v>
      </c>
      <c r="F445" s="23">
        <f t="shared" si="30"/>
        <v>1</v>
      </c>
      <c r="G445" s="23">
        <f t="shared" si="31"/>
        <v>1</v>
      </c>
    </row>
    <row r="446" spans="1:7" x14ac:dyDescent="0.35">
      <c r="A446" s="25" t="s">
        <v>558</v>
      </c>
      <c r="B446" s="25" t="s">
        <v>2689</v>
      </c>
      <c r="C446" s="25" t="str">
        <f t="shared" si="29"/>
        <v>Huyện Vĩnh Hưng - Long An</v>
      </c>
      <c r="D446" s="25" t="s">
        <v>3139</v>
      </c>
      <c r="E446" s="25" t="s">
        <v>3140</v>
      </c>
      <c r="F446" s="23">
        <f t="shared" si="30"/>
        <v>1</v>
      </c>
      <c r="G446" s="23">
        <f t="shared" si="31"/>
        <v>1</v>
      </c>
    </row>
    <row r="447" spans="1:7" x14ac:dyDescent="0.35">
      <c r="A447" s="25" t="s">
        <v>558</v>
      </c>
      <c r="B447" s="25" t="s">
        <v>2513</v>
      </c>
      <c r="C447" s="25" t="str">
        <f t="shared" si="29"/>
        <v>Thành phố Tân An - Long An</v>
      </c>
      <c r="D447" s="25" t="s">
        <v>3142</v>
      </c>
      <c r="E447" s="25" t="s">
        <v>3140</v>
      </c>
      <c r="F447" s="23">
        <f t="shared" si="30"/>
        <v>1</v>
      </c>
      <c r="G447" s="23">
        <f t="shared" si="31"/>
        <v>1</v>
      </c>
    </row>
    <row r="448" spans="1:7" x14ac:dyDescent="0.35">
      <c r="A448" s="25" t="s">
        <v>558</v>
      </c>
      <c r="B448" s="25" t="s">
        <v>2692</v>
      </c>
      <c r="C448" s="25" t="str">
        <f t="shared" si="29"/>
        <v>Thị xã Kiến Tường - Long An</v>
      </c>
      <c r="D448" s="25" t="s">
        <v>3139</v>
      </c>
      <c r="E448" s="25" t="s">
        <v>3140</v>
      </c>
      <c r="F448" s="23">
        <f t="shared" si="30"/>
        <v>1</v>
      </c>
      <c r="G448" s="23">
        <f t="shared" si="31"/>
        <v>1</v>
      </c>
    </row>
    <row r="449" spans="1:7" x14ac:dyDescent="0.35">
      <c r="A449" s="25" t="s">
        <v>523</v>
      </c>
      <c r="B449" s="25" t="s">
        <v>3030</v>
      </c>
      <c r="C449" s="25" t="str">
        <f t="shared" si="29"/>
        <v>Huyện Giao Thủy - Nam Định</v>
      </c>
      <c r="D449" s="25" t="s">
        <v>3139</v>
      </c>
      <c r="E449" s="25" t="s">
        <v>3145</v>
      </c>
      <c r="F449" s="23">
        <f t="shared" si="30"/>
        <v>1</v>
      </c>
      <c r="G449" s="23">
        <f t="shared" si="31"/>
        <v>1</v>
      </c>
    </row>
    <row r="450" spans="1:7" x14ac:dyDescent="0.35">
      <c r="A450" s="25" t="s">
        <v>523</v>
      </c>
      <c r="B450" s="25" t="s">
        <v>2947</v>
      </c>
      <c r="C450" s="25" t="str">
        <f t="shared" si="29"/>
        <v>Huyện Hải Hậu - Nam Định</v>
      </c>
      <c r="D450" s="25" t="s">
        <v>3139</v>
      </c>
      <c r="E450" s="25" t="s">
        <v>3145</v>
      </c>
      <c r="F450" s="23">
        <f t="shared" si="30"/>
        <v>1</v>
      </c>
      <c r="G450" s="23">
        <f t="shared" si="31"/>
        <v>1</v>
      </c>
    </row>
    <row r="451" spans="1:7" x14ac:dyDescent="0.35">
      <c r="A451" s="25" t="s">
        <v>523</v>
      </c>
      <c r="B451" s="25" t="s">
        <v>2883</v>
      </c>
      <c r="C451" s="25" t="str">
        <f t="shared" si="29"/>
        <v>Huyện Mỹ Lộc - Nam Định</v>
      </c>
      <c r="D451" s="25" t="s">
        <v>3141</v>
      </c>
      <c r="E451" s="25" t="s">
        <v>3145</v>
      </c>
      <c r="F451" s="23">
        <f t="shared" si="30"/>
        <v>1</v>
      </c>
      <c r="G451" s="23">
        <f t="shared" si="31"/>
        <v>1</v>
      </c>
    </row>
    <row r="452" spans="1:7" x14ac:dyDescent="0.35">
      <c r="A452" s="25" t="s">
        <v>523</v>
      </c>
      <c r="B452" s="25" t="s">
        <v>2877</v>
      </c>
      <c r="C452" s="25" t="str">
        <f t="shared" si="29"/>
        <v>Huyện Nam Trực - Nam Định</v>
      </c>
      <c r="D452" s="25" t="s">
        <v>3141</v>
      </c>
      <c r="E452" s="25" t="s">
        <v>3145</v>
      </c>
      <c r="F452" s="23">
        <f t="shared" si="30"/>
        <v>1</v>
      </c>
      <c r="G452" s="23">
        <f t="shared" si="31"/>
        <v>1</v>
      </c>
    </row>
    <row r="453" spans="1:7" x14ac:dyDescent="0.35">
      <c r="A453" s="25" t="s">
        <v>523</v>
      </c>
      <c r="B453" s="25" t="s">
        <v>2906</v>
      </c>
      <c r="C453" s="25" t="str">
        <f t="shared" si="29"/>
        <v>Huyện Nghĩa Hưng - Nam Định</v>
      </c>
      <c r="D453" s="25" t="s">
        <v>3139</v>
      </c>
      <c r="E453" s="25" t="s">
        <v>3145</v>
      </c>
      <c r="F453" s="23">
        <f t="shared" si="30"/>
        <v>1</v>
      </c>
      <c r="G453" s="23">
        <f t="shared" si="31"/>
        <v>1</v>
      </c>
    </row>
    <row r="454" spans="1:7" x14ac:dyDescent="0.35">
      <c r="A454" s="25" t="s">
        <v>523</v>
      </c>
      <c r="B454" s="25" t="s">
        <v>2891</v>
      </c>
      <c r="C454" s="25" t="str">
        <f t="shared" si="29"/>
        <v>Huyện Trực Ninh - Nam Định</v>
      </c>
      <c r="D454" s="25" t="s">
        <v>3139</v>
      </c>
      <c r="E454" s="25" t="s">
        <v>3145</v>
      </c>
      <c r="F454" s="23">
        <f t="shared" si="30"/>
        <v>1</v>
      </c>
      <c r="G454" s="23">
        <f t="shared" si="31"/>
        <v>1</v>
      </c>
    </row>
    <row r="455" spans="1:7" x14ac:dyDescent="0.35">
      <c r="A455" s="25" t="s">
        <v>523</v>
      </c>
      <c r="B455" s="25" t="s">
        <v>2893</v>
      </c>
      <c r="C455" s="25" t="str">
        <f t="shared" ref="C455:C518" si="32">B455&amp;" - "&amp;A455</f>
        <v>Huyện Vụ Bản - Nam Định</v>
      </c>
      <c r="D455" s="25" t="s">
        <v>3139</v>
      </c>
      <c r="E455" s="25" t="s">
        <v>3145</v>
      </c>
      <c r="F455" s="23">
        <f t="shared" si="30"/>
        <v>1</v>
      </c>
      <c r="G455" s="23">
        <f t="shared" si="31"/>
        <v>1</v>
      </c>
    </row>
    <row r="456" spans="1:7" x14ac:dyDescent="0.35">
      <c r="A456" s="25" t="s">
        <v>523</v>
      </c>
      <c r="B456" s="25" t="s">
        <v>3061</v>
      </c>
      <c r="C456" s="25" t="str">
        <f t="shared" si="32"/>
        <v>Huyện Xuân Trường - Nam Định</v>
      </c>
      <c r="D456" s="25" t="s">
        <v>3139</v>
      </c>
      <c r="E456" s="25" t="s">
        <v>3145</v>
      </c>
      <c r="F456" s="23">
        <f t="shared" si="30"/>
        <v>1</v>
      </c>
      <c r="G456" s="23">
        <f t="shared" si="31"/>
        <v>1</v>
      </c>
    </row>
    <row r="457" spans="1:7" x14ac:dyDescent="0.35">
      <c r="A457" s="25" t="s">
        <v>523</v>
      </c>
      <c r="B457" s="25" t="s">
        <v>2938</v>
      </c>
      <c r="C457" s="25" t="str">
        <f t="shared" si="32"/>
        <v>Huyện Ý Yên - Nam Định</v>
      </c>
      <c r="D457" s="25" t="s">
        <v>3139</v>
      </c>
      <c r="E457" s="25" t="s">
        <v>3145</v>
      </c>
      <c r="F457" s="23">
        <f t="shared" si="30"/>
        <v>1</v>
      </c>
      <c r="G457" s="23">
        <f t="shared" si="31"/>
        <v>1</v>
      </c>
    </row>
    <row r="458" spans="1:7" x14ac:dyDescent="0.35">
      <c r="A458" s="25" t="s">
        <v>523</v>
      </c>
      <c r="B458" s="25" t="s">
        <v>2824</v>
      </c>
      <c r="C458" s="25" t="str">
        <f t="shared" si="32"/>
        <v>Thành phố Nam Định - Nam Định</v>
      </c>
      <c r="D458" s="25" t="s">
        <v>3142</v>
      </c>
      <c r="E458" s="25" t="s">
        <v>3145</v>
      </c>
      <c r="F458" s="23">
        <f t="shared" ref="F458:F521" si="33">COUNTIF($B:$B,B458)</f>
        <v>1</v>
      </c>
      <c r="G458" s="23">
        <f t="shared" ref="G458:G521" si="34">COUNTIF($C:$C,C458)</f>
        <v>1</v>
      </c>
    </row>
    <row r="459" spans="1:7" x14ac:dyDescent="0.35">
      <c r="A459" s="25" t="s">
        <v>525</v>
      </c>
      <c r="B459" s="25" t="s">
        <v>2913</v>
      </c>
      <c r="C459" s="25" t="str">
        <f t="shared" si="32"/>
        <v>Huyện Anh Sơn - Nghệ An</v>
      </c>
      <c r="D459" s="25" t="s">
        <v>3139</v>
      </c>
      <c r="E459" s="25" t="s">
        <v>3152</v>
      </c>
      <c r="F459" s="23">
        <f t="shared" si="33"/>
        <v>1</v>
      </c>
      <c r="G459" s="23">
        <f t="shared" si="34"/>
        <v>1</v>
      </c>
    </row>
    <row r="460" spans="1:7" x14ac:dyDescent="0.35">
      <c r="A460" s="25" t="s">
        <v>525</v>
      </c>
      <c r="B460" s="25" t="s">
        <v>2914</v>
      </c>
      <c r="C460" s="25" t="str">
        <f t="shared" si="32"/>
        <v>Huyện Con Cuông - Nghệ An</v>
      </c>
      <c r="D460" s="25" t="s">
        <v>3139</v>
      </c>
      <c r="E460" s="25" t="s">
        <v>3152</v>
      </c>
      <c r="F460" s="23">
        <f t="shared" si="33"/>
        <v>1</v>
      </c>
      <c r="G460" s="23">
        <f t="shared" si="34"/>
        <v>1</v>
      </c>
    </row>
    <row r="461" spans="1:7" x14ac:dyDescent="0.35">
      <c r="A461" s="25" t="s">
        <v>525</v>
      </c>
      <c r="B461" s="25" t="s">
        <v>2915</v>
      </c>
      <c r="C461" s="25" t="str">
        <f t="shared" si="32"/>
        <v>Huyện Diễn Châu - Nghệ An</v>
      </c>
      <c r="D461" s="25" t="s">
        <v>3139</v>
      </c>
      <c r="E461" s="25" t="s">
        <v>3152</v>
      </c>
      <c r="F461" s="23">
        <f t="shared" si="33"/>
        <v>1</v>
      </c>
      <c r="G461" s="23">
        <f t="shared" si="34"/>
        <v>1</v>
      </c>
    </row>
    <row r="462" spans="1:7" x14ac:dyDescent="0.35">
      <c r="A462" s="25" t="s">
        <v>525</v>
      </c>
      <c r="B462" s="25" t="s">
        <v>2916</v>
      </c>
      <c r="C462" s="25" t="str">
        <f t="shared" si="32"/>
        <v>Huyện Đô Lương - Nghệ An</v>
      </c>
      <c r="D462" s="25" t="s">
        <v>3139</v>
      </c>
      <c r="E462" s="25" t="s">
        <v>3152</v>
      </c>
      <c r="F462" s="23">
        <f t="shared" si="33"/>
        <v>1</v>
      </c>
      <c r="G462" s="23">
        <f t="shared" si="34"/>
        <v>1</v>
      </c>
    </row>
    <row r="463" spans="1:7" x14ac:dyDescent="0.35">
      <c r="A463" s="25" t="s">
        <v>525</v>
      </c>
      <c r="B463" s="25" t="s">
        <v>2876</v>
      </c>
      <c r="C463" s="25" t="str">
        <f t="shared" si="32"/>
        <v>Huyện Hưng Nguyên - Nghệ An</v>
      </c>
      <c r="D463" s="25" t="s">
        <v>3141</v>
      </c>
      <c r="E463" s="25" t="s">
        <v>3152</v>
      </c>
      <c r="F463" s="23">
        <f t="shared" si="33"/>
        <v>1</v>
      </c>
      <c r="G463" s="23">
        <f t="shared" si="34"/>
        <v>1</v>
      </c>
    </row>
    <row r="464" spans="1:7" x14ac:dyDescent="0.35">
      <c r="A464" s="25" t="s">
        <v>525</v>
      </c>
      <c r="B464" s="25" t="s">
        <v>2888</v>
      </c>
      <c r="C464" s="25" t="str">
        <f t="shared" si="32"/>
        <v>Huyện Kỳ Sơn - Nghệ An</v>
      </c>
      <c r="D464" s="25" t="s">
        <v>3139</v>
      </c>
      <c r="E464" s="25" t="s">
        <v>3152</v>
      </c>
      <c r="F464" s="23">
        <f t="shared" si="33"/>
        <v>2</v>
      </c>
      <c r="G464" s="23">
        <f t="shared" si="34"/>
        <v>1</v>
      </c>
    </row>
    <row r="465" spans="1:7" x14ac:dyDescent="0.35">
      <c r="A465" s="25" t="s">
        <v>525</v>
      </c>
      <c r="B465" s="25" t="s">
        <v>2892</v>
      </c>
      <c r="C465" s="25" t="str">
        <f t="shared" si="32"/>
        <v>Huyện Nam Đàn - Nghệ An</v>
      </c>
      <c r="D465" s="25" t="s">
        <v>3141</v>
      </c>
      <c r="E465" s="25" t="s">
        <v>3152</v>
      </c>
      <c r="F465" s="23">
        <f t="shared" si="33"/>
        <v>1</v>
      </c>
      <c r="G465" s="23">
        <f t="shared" si="34"/>
        <v>1</v>
      </c>
    </row>
    <row r="466" spans="1:7" x14ac:dyDescent="0.35">
      <c r="A466" s="25" t="s">
        <v>525</v>
      </c>
      <c r="B466" s="25" t="s">
        <v>2866</v>
      </c>
      <c r="C466" s="25" t="str">
        <f t="shared" si="32"/>
        <v>Huyện Nghi Lộc - Nghệ An</v>
      </c>
      <c r="D466" s="25" t="s">
        <v>3141</v>
      </c>
      <c r="E466" s="25" t="s">
        <v>3152</v>
      </c>
      <c r="F466" s="23">
        <f t="shared" si="33"/>
        <v>1</v>
      </c>
      <c r="G466" s="23">
        <f t="shared" si="34"/>
        <v>1</v>
      </c>
    </row>
    <row r="467" spans="1:7" x14ac:dyDescent="0.35">
      <c r="A467" s="25" t="s">
        <v>525</v>
      </c>
      <c r="B467" s="25" t="s">
        <v>2925</v>
      </c>
      <c r="C467" s="25" t="str">
        <f t="shared" si="32"/>
        <v>Huyện Nghĩa Đàn - Nghệ An</v>
      </c>
      <c r="D467" s="25" t="s">
        <v>3139</v>
      </c>
      <c r="E467" s="25" t="s">
        <v>3152</v>
      </c>
      <c r="F467" s="23">
        <f t="shared" si="33"/>
        <v>1</v>
      </c>
      <c r="G467" s="23">
        <f t="shared" si="34"/>
        <v>1</v>
      </c>
    </row>
    <row r="468" spans="1:7" x14ac:dyDescent="0.35">
      <c r="A468" s="25" t="s">
        <v>525</v>
      </c>
      <c r="B468" s="25" t="s">
        <v>3033</v>
      </c>
      <c r="C468" s="25" t="str">
        <f t="shared" si="32"/>
        <v>Huyện Quế Phong - Nghệ An</v>
      </c>
      <c r="D468" s="25" t="s">
        <v>3139</v>
      </c>
      <c r="E468" s="25" t="s">
        <v>3152</v>
      </c>
      <c r="F468" s="23">
        <f t="shared" si="33"/>
        <v>1</v>
      </c>
      <c r="G468" s="23">
        <f t="shared" si="34"/>
        <v>1</v>
      </c>
    </row>
    <row r="469" spans="1:7" x14ac:dyDescent="0.35">
      <c r="A469" s="25" t="s">
        <v>525</v>
      </c>
      <c r="B469" s="25" t="s">
        <v>3048</v>
      </c>
      <c r="C469" s="25" t="str">
        <f t="shared" si="32"/>
        <v>Huyện Quỳ Châu - Nghệ An</v>
      </c>
      <c r="D469" s="25" t="s">
        <v>3139</v>
      </c>
      <c r="E469" s="25" t="s">
        <v>3152</v>
      </c>
      <c r="F469" s="23">
        <f t="shared" si="33"/>
        <v>1</v>
      </c>
      <c r="G469" s="23">
        <f t="shared" si="34"/>
        <v>1</v>
      </c>
    </row>
    <row r="470" spans="1:7" x14ac:dyDescent="0.35">
      <c r="A470" s="25" t="s">
        <v>525</v>
      </c>
      <c r="B470" s="25" t="s">
        <v>2927</v>
      </c>
      <c r="C470" s="25" t="str">
        <f t="shared" si="32"/>
        <v>Huyện Quỳ Hợp - Nghệ An</v>
      </c>
      <c r="D470" s="25" t="s">
        <v>3139</v>
      </c>
      <c r="E470" s="25" t="s">
        <v>3152</v>
      </c>
      <c r="F470" s="23">
        <f t="shared" si="33"/>
        <v>1</v>
      </c>
      <c r="G470" s="23">
        <f t="shared" si="34"/>
        <v>1</v>
      </c>
    </row>
    <row r="471" spans="1:7" x14ac:dyDescent="0.35">
      <c r="A471" s="25" t="s">
        <v>525</v>
      </c>
      <c r="B471" s="25" t="s">
        <v>2928</v>
      </c>
      <c r="C471" s="25" t="str">
        <f t="shared" si="32"/>
        <v>Huyện Quỳnh Lưu - Nghệ An</v>
      </c>
      <c r="D471" s="25" t="s">
        <v>3139</v>
      </c>
      <c r="E471" s="25" t="s">
        <v>3152</v>
      </c>
      <c r="F471" s="23">
        <f t="shared" si="33"/>
        <v>1</v>
      </c>
      <c r="G471" s="23">
        <f t="shared" si="34"/>
        <v>1</v>
      </c>
    </row>
    <row r="472" spans="1:7" x14ac:dyDescent="0.35">
      <c r="A472" s="25" t="s">
        <v>525</v>
      </c>
      <c r="B472" s="25" t="s">
        <v>2948</v>
      </c>
      <c r="C472" s="25" t="str">
        <f t="shared" si="32"/>
        <v>Huyện Tân Kỳ - Nghệ An</v>
      </c>
      <c r="D472" s="25" t="s">
        <v>3139</v>
      </c>
      <c r="E472" s="25" t="s">
        <v>3152</v>
      </c>
      <c r="F472" s="23">
        <f t="shared" si="33"/>
        <v>1</v>
      </c>
      <c r="G472" s="23">
        <f t="shared" si="34"/>
        <v>1</v>
      </c>
    </row>
    <row r="473" spans="1:7" x14ac:dyDescent="0.35">
      <c r="A473" s="25" t="s">
        <v>525</v>
      </c>
      <c r="B473" s="25" t="s">
        <v>3032</v>
      </c>
      <c r="C473" s="25" t="str">
        <f t="shared" si="32"/>
        <v>Huyện Thanh Chương - Nghệ An</v>
      </c>
      <c r="D473" s="25" t="s">
        <v>3139</v>
      </c>
      <c r="E473" s="25" t="s">
        <v>3152</v>
      </c>
      <c r="F473" s="23">
        <f t="shared" si="33"/>
        <v>1</v>
      </c>
      <c r="G473" s="23">
        <f t="shared" si="34"/>
        <v>1</v>
      </c>
    </row>
    <row r="474" spans="1:7" x14ac:dyDescent="0.35">
      <c r="A474" s="25" t="s">
        <v>525</v>
      </c>
      <c r="B474" s="25" t="s">
        <v>3056</v>
      </c>
      <c r="C474" s="25" t="str">
        <f t="shared" si="32"/>
        <v>Huyện Tương Dương - Nghệ An</v>
      </c>
      <c r="D474" s="25" t="s">
        <v>3139</v>
      </c>
      <c r="E474" s="25" t="s">
        <v>3152</v>
      </c>
      <c r="F474" s="23">
        <f t="shared" si="33"/>
        <v>1</v>
      </c>
      <c r="G474" s="23">
        <f t="shared" si="34"/>
        <v>1</v>
      </c>
    </row>
    <row r="475" spans="1:7" x14ac:dyDescent="0.35">
      <c r="A475" s="25" t="s">
        <v>525</v>
      </c>
      <c r="B475" s="25" t="s">
        <v>2940</v>
      </c>
      <c r="C475" s="25" t="str">
        <f t="shared" si="32"/>
        <v>Huyện Yên Thành - Nghệ An</v>
      </c>
      <c r="D475" s="25" t="s">
        <v>3139</v>
      </c>
      <c r="E475" s="25" t="s">
        <v>3152</v>
      </c>
      <c r="F475" s="23">
        <f t="shared" si="33"/>
        <v>1</v>
      </c>
      <c r="G475" s="23">
        <f t="shared" si="34"/>
        <v>1</v>
      </c>
    </row>
    <row r="476" spans="1:7" x14ac:dyDescent="0.35">
      <c r="A476" s="25" t="s">
        <v>525</v>
      </c>
      <c r="B476" s="25" t="s">
        <v>2832</v>
      </c>
      <c r="C476" s="25" t="str">
        <f t="shared" si="32"/>
        <v>Thành phố Vinh - Nghệ An</v>
      </c>
      <c r="D476" s="25" t="s">
        <v>3142</v>
      </c>
      <c r="E476" s="25" t="s">
        <v>3152</v>
      </c>
      <c r="F476" s="23">
        <f t="shared" si="33"/>
        <v>1</v>
      </c>
      <c r="G476" s="23">
        <f t="shared" si="34"/>
        <v>1</v>
      </c>
    </row>
    <row r="477" spans="1:7" x14ac:dyDescent="0.35">
      <c r="A477" s="25" t="s">
        <v>525</v>
      </c>
      <c r="B477" s="25" t="s">
        <v>3166</v>
      </c>
      <c r="C477" s="25" t="str">
        <f t="shared" si="32"/>
        <v>Thị xã Cửa Lò - Nghệ An</v>
      </c>
      <c r="D477" s="25" t="s">
        <v>3141</v>
      </c>
      <c r="E477" s="25" t="s">
        <v>3152</v>
      </c>
      <c r="F477" s="23">
        <f t="shared" si="33"/>
        <v>1</v>
      </c>
      <c r="G477" s="23">
        <f t="shared" si="34"/>
        <v>1</v>
      </c>
    </row>
    <row r="478" spans="1:7" x14ac:dyDescent="0.35">
      <c r="A478" s="25" t="s">
        <v>525</v>
      </c>
      <c r="B478" s="25" t="s">
        <v>3167</v>
      </c>
      <c r="C478" s="25" t="str">
        <f t="shared" si="32"/>
        <v>Thị xã Hoàng Mai - Nghệ An</v>
      </c>
      <c r="D478" s="25" t="s">
        <v>3139</v>
      </c>
      <c r="E478" s="25" t="s">
        <v>3152</v>
      </c>
      <c r="F478" s="23">
        <f t="shared" si="33"/>
        <v>1</v>
      </c>
      <c r="G478" s="23">
        <f t="shared" si="34"/>
        <v>1</v>
      </c>
    </row>
    <row r="479" spans="1:7" x14ac:dyDescent="0.35">
      <c r="A479" s="25" t="s">
        <v>525</v>
      </c>
      <c r="B479" s="26" t="s">
        <v>3178</v>
      </c>
      <c r="C479" s="25" t="str">
        <f t="shared" si="32"/>
        <v>Thị xã Thái Hòa - Nghệ An</v>
      </c>
      <c r="D479" s="25" t="s">
        <v>3139</v>
      </c>
      <c r="E479" s="25" t="s">
        <v>3152</v>
      </c>
      <c r="F479" s="23">
        <f t="shared" si="33"/>
        <v>1</v>
      </c>
      <c r="G479" s="23">
        <f t="shared" si="34"/>
        <v>1</v>
      </c>
    </row>
    <row r="480" spans="1:7" x14ac:dyDescent="0.35">
      <c r="A480" s="25" t="s">
        <v>524</v>
      </c>
      <c r="B480" s="25" t="s">
        <v>2896</v>
      </c>
      <c r="C480" s="25" t="str">
        <f t="shared" si="32"/>
        <v>Huyện Gia Viễn - Ninh Bình</v>
      </c>
      <c r="D480" s="25" t="s">
        <v>3141</v>
      </c>
      <c r="E480" s="25" t="s">
        <v>3145</v>
      </c>
      <c r="F480" s="23">
        <f t="shared" si="33"/>
        <v>1</v>
      </c>
      <c r="G480" s="23">
        <f t="shared" si="34"/>
        <v>1</v>
      </c>
    </row>
    <row r="481" spans="1:7" x14ac:dyDescent="0.35">
      <c r="A481" s="25" t="s">
        <v>524</v>
      </c>
      <c r="B481" s="25" t="s">
        <v>2885</v>
      </c>
      <c r="C481" s="25" t="str">
        <f t="shared" si="32"/>
        <v>Huyện Hoa Lư - Ninh Bình</v>
      </c>
      <c r="D481" s="25" t="s">
        <v>3141</v>
      </c>
      <c r="E481" s="25" t="s">
        <v>3145</v>
      </c>
      <c r="F481" s="23">
        <f t="shared" si="33"/>
        <v>1</v>
      </c>
      <c r="G481" s="23">
        <f t="shared" si="34"/>
        <v>1</v>
      </c>
    </row>
    <row r="482" spans="1:7" x14ac:dyDescent="0.35">
      <c r="A482" s="25" t="s">
        <v>524</v>
      </c>
      <c r="B482" s="25" t="s">
        <v>2889</v>
      </c>
      <c r="C482" s="25" t="str">
        <f t="shared" si="32"/>
        <v>Huyện Kim Sơn - Ninh Bình</v>
      </c>
      <c r="D482" s="25" t="s">
        <v>3141</v>
      </c>
      <c r="E482" s="25" t="s">
        <v>3145</v>
      </c>
      <c r="F482" s="23">
        <f t="shared" si="33"/>
        <v>1</v>
      </c>
      <c r="G482" s="23">
        <f t="shared" si="34"/>
        <v>1</v>
      </c>
    </row>
    <row r="483" spans="1:7" x14ac:dyDescent="0.35">
      <c r="A483" s="25" t="s">
        <v>524</v>
      </c>
      <c r="B483" s="25" t="s">
        <v>3057</v>
      </c>
      <c r="C483" s="25" t="str">
        <f t="shared" si="32"/>
        <v>Huyện Nho Quan - Ninh Bình</v>
      </c>
      <c r="D483" s="25" t="s">
        <v>3139</v>
      </c>
      <c r="E483" s="25" t="s">
        <v>3145</v>
      </c>
      <c r="F483" s="23">
        <f t="shared" si="33"/>
        <v>1</v>
      </c>
      <c r="G483" s="23">
        <f t="shared" si="34"/>
        <v>1</v>
      </c>
    </row>
    <row r="484" spans="1:7" x14ac:dyDescent="0.35">
      <c r="A484" s="25" t="s">
        <v>524</v>
      </c>
      <c r="B484" s="25" t="s">
        <v>2855</v>
      </c>
      <c r="C484" s="25" t="str">
        <f t="shared" si="32"/>
        <v>Huyện Yên Khánh - Ninh Bình</v>
      </c>
      <c r="D484" s="25" t="s">
        <v>3141</v>
      </c>
      <c r="E484" s="25" t="s">
        <v>3145</v>
      </c>
      <c r="F484" s="23">
        <f t="shared" si="33"/>
        <v>1</v>
      </c>
      <c r="G484" s="23">
        <f t="shared" si="34"/>
        <v>1</v>
      </c>
    </row>
    <row r="485" spans="1:7" x14ac:dyDescent="0.35">
      <c r="A485" s="25" t="s">
        <v>524</v>
      </c>
      <c r="B485" s="25" t="s">
        <v>2895</v>
      </c>
      <c r="C485" s="25" t="str">
        <f t="shared" si="32"/>
        <v>Huyện Yên Mô - Ninh Bình</v>
      </c>
      <c r="D485" s="25" t="s">
        <v>3141</v>
      </c>
      <c r="E485" s="25" t="s">
        <v>3145</v>
      </c>
      <c r="F485" s="23">
        <f t="shared" si="33"/>
        <v>1</v>
      </c>
      <c r="G485" s="23">
        <f t="shared" si="34"/>
        <v>1</v>
      </c>
    </row>
    <row r="486" spans="1:7" x14ac:dyDescent="0.35">
      <c r="A486" s="25" t="s">
        <v>524</v>
      </c>
      <c r="B486" s="25" t="s">
        <v>2825</v>
      </c>
      <c r="C486" s="25" t="str">
        <f t="shared" si="32"/>
        <v>Thành phố Ninh Bình - Ninh Bình</v>
      </c>
      <c r="D486" s="25" t="s">
        <v>3142</v>
      </c>
      <c r="E486" s="25" t="s">
        <v>3145</v>
      </c>
      <c r="F486" s="23">
        <f t="shared" si="33"/>
        <v>1</v>
      </c>
      <c r="G486" s="23">
        <f t="shared" si="34"/>
        <v>1</v>
      </c>
    </row>
    <row r="487" spans="1:7" x14ac:dyDescent="0.35">
      <c r="A487" s="25" t="s">
        <v>524</v>
      </c>
      <c r="B487" s="26" t="s">
        <v>2863</v>
      </c>
      <c r="C487" s="25" t="str">
        <f t="shared" si="32"/>
        <v>Thị Xã Tam Điệp - Ninh Bình</v>
      </c>
      <c r="D487" s="25" t="s">
        <v>3141</v>
      </c>
      <c r="E487" s="25" t="s">
        <v>3145</v>
      </c>
      <c r="F487" s="23">
        <f t="shared" si="33"/>
        <v>1</v>
      </c>
      <c r="G487" s="23">
        <f t="shared" si="34"/>
        <v>1</v>
      </c>
    </row>
    <row r="488" spans="1:7" x14ac:dyDescent="0.35">
      <c r="A488" s="25" t="s">
        <v>559</v>
      </c>
      <c r="B488" s="25" t="s">
        <v>2684</v>
      </c>
      <c r="C488" s="25" t="str">
        <f t="shared" si="32"/>
        <v>Huyện Bác Ái - Ninh Thuận</v>
      </c>
      <c r="D488" s="25" t="s">
        <v>3139</v>
      </c>
      <c r="E488" s="25" t="s">
        <v>3148</v>
      </c>
      <c r="F488" s="23">
        <f t="shared" si="33"/>
        <v>1</v>
      </c>
      <c r="G488" s="23">
        <f t="shared" si="34"/>
        <v>1</v>
      </c>
    </row>
    <row r="489" spans="1:7" x14ac:dyDescent="0.35">
      <c r="A489" s="25" t="s">
        <v>559</v>
      </c>
      <c r="B489" s="25" t="s">
        <v>2553</v>
      </c>
      <c r="C489" s="25" t="str">
        <f t="shared" si="32"/>
        <v>Huyện Ninh Hải - Ninh Thuận</v>
      </c>
      <c r="D489" s="25" t="s">
        <v>3141</v>
      </c>
      <c r="E489" s="25" t="s">
        <v>3148</v>
      </c>
      <c r="F489" s="23">
        <f t="shared" si="33"/>
        <v>1</v>
      </c>
      <c r="G489" s="23">
        <f t="shared" si="34"/>
        <v>1</v>
      </c>
    </row>
    <row r="490" spans="1:7" x14ac:dyDescent="0.35">
      <c r="A490" s="25" t="s">
        <v>559</v>
      </c>
      <c r="B490" s="25" t="s">
        <v>2552</v>
      </c>
      <c r="C490" s="25" t="str">
        <f t="shared" si="32"/>
        <v>Huyện Ninh Phước - Ninh Thuận</v>
      </c>
      <c r="D490" s="25" t="s">
        <v>3141</v>
      </c>
      <c r="E490" s="25" t="s">
        <v>3148</v>
      </c>
      <c r="F490" s="23">
        <f t="shared" si="33"/>
        <v>1</v>
      </c>
      <c r="G490" s="23">
        <f t="shared" si="34"/>
        <v>1</v>
      </c>
    </row>
    <row r="491" spans="1:7" x14ac:dyDescent="0.35">
      <c r="A491" s="25" t="s">
        <v>559</v>
      </c>
      <c r="B491" s="25" t="s">
        <v>2597</v>
      </c>
      <c r="C491" s="25" t="str">
        <f t="shared" si="32"/>
        <v>Huyện Ninh Sơn - Ninh Thuận</v>
      </c>
      <c r="D491" s="25" t="s">
        <v>3139</v>
      </c>
      <c r="E491" s="25" t="s">
        <v>3148</v>
      </c>
      <c r="F491" s="23">
        <f t="shared" si="33"/>
        <v>1</v>
      </c>
      <c r="G491" s="23">
        <f t="shared" si="34"/>
        <v>1</v>
      </c>
    </row>
    <row r="492" spans="1:7" x14ac:dyDescent="0.35">
      <c r="A492" s="25" t="s">
        <v>559</v>
      </c>
      <c r="B492" s="25" t="s">
        <v>2562</v>
      </c>
      <c r="C492" s="25" t="str">
        <f t="shared" si="32"/>
        <v>Huyện Thuận Bắc - Ninh Thuận</v>
      </c>
      <c r="D492" s="25" t="s">
        <v>3141</v>
      </c>
      <c r="E492" s="25" t="s">
        <v>3148</v>
      </c>
      <c r="F492" s="23">
        <f t="shared" si="33"/>
        <v>1</v>
      </c>
      <c r="G492" s="23">
        <f t="shared" si="34"/>
        <v>1</v>
      </c>
    </row>
    <row r="493" spans="1:7" x14ac:dyDescent="0.35">
      <c r="A493" s="25" t="s">
        <v>559</v>
      </c>
      <c r="B493" s="25" t="s">
        <v>2559</v>
      </c>
      <c r="C493" s="25" t="str">
        <f t="shared" si="32"/>
        <v>Huyện Thuận Nam - Ninh Thuận</v>
      </c>
      <c r="D493" s="25" t="s">
        <v>3139</v>
      </c>
      <c r="E493" s="25" t="s">
        <v>3148</v>
      </c>
      <c r="F493" s="23">
        <f t="shared" si="33"/>
        <v>1</v>
      </c>
      <c r="G493" s="23">
        <f t="shared" si="34"/>
        <v>1</v>
      </c>
    </row>
    <row r="494" spans="1:7" x14ac:dyDescent="0.35">
      <c r="A494" s="25" t="s">
        <v>559</v>
      </c>
      <c r="B494" s="26" t="s">
        <v>2506</v>
      </c>
      <c r="C494" s="25" t="str">
        <f t="shared" si="32"/>
        <v>Thành phố Phan Rang - Tháp Chàm - Ninh Thuận</v>
      </c>
      <c r="D494" s="25" t="s">
        <v>3142</v>
      </c>
      <c r="E494" s="25" t="s">
        <v>3148</v>
      </c>
      <c r="F494" s="23">
        <f t="shared" si="33"/>
        <v>1</v>
      </c>
      <c r="G494" s="23">
        <f t="shared" si="34"/>
        <v>1</v>
      </c>
    </row>
    <row r="495" spans="1:7" x14ac:dyDescent="0.35">
      <c r="A495" s="25" t="s">
        <v>526</v>
      </c>
      <c r="B495" s="25" t="s">
        <v>2974</v>
      </c>
      <c r="C495" s="25" t="str">
        <f t="shared" si="32"/>
        <v>Huyện Cẩm Khê - Phú Thọ</v>
      </c>
      <c r="D495" s="25" t="s">
        <v>3139</v>
      </c>
      <c r="E495" s="25" t="s">
        <v>3145</v>
      </c>
      <c r="F495" s="23">
        <f t="shared" si="33"/>
        <v>1</v>
      </c>
      <c r="G495" s="23">
        <f t="shared" si="34"/>
        <v>1</v>
      </c>
    </row>
    <row r="496" spans="1:7" x14ac:dyDescent="0.35">
      <c r="A496" s="25" t="s">
        <v>526</v>
      </c>
      <c r="B496" s="25" t="s">
        <v>3006</v>
      </c>
      <c r="C496" s="25" t="str">
        <f t="shared" si="32"/>
        <v>Huyện Đoan Hùng - Phú Thọ</v>
      </c>
      <c r="D496" s="25" t="s">
        <v>3139</v>
      </c>
      <c r="E496" s="25" t="s">
        <v>3145</v>
      </c>
      <c r="F496" s="23">
        <f t="shared" si="33"/>
        <v>1</v>
      </c>
      <c r="G496" s="23">
        <f t="shared" si="34"/>
        <v>1</v>
      </c>
    </row>
    <row r="497" spans="1:7" x14ac:dyDescent="0.35">
      <c r="A497" s="25" t="s">
        <v>526</v>
      </c>
      <c r="B497" s="26" t="s">
        <v>3014</v>
      </c>
      <c r="C497" s="25" t="str">
        <f t="shared" si="32"/>
        <v>Huyện Hạ Hòa - Phú Thọ</v>
      </c>
      <c r="D497" s="25" t="s">
        <v>3139</v>
      </c>
      <c r="E497" s="25" t="s">
        <v>3145</v>
      </c>
      <c r="F497" s="23">
        <f t="shared" si="33"/>
        <v>1</v>
      </c>
      <c r="G497" s="23">
        <f t="shared" si="34"/>
        <v>1</v>
      </c>
    </row>
    <row r="498" spans="1:7" x14ac:dyDescent="0.35">
      <c r="A498" s="25" t="s">
        <v>526</v>
      </c>
      <c r="B498" s="25" t="s">
        <v>2879</v>
      </c>
      <c r="C498" s="25" t="str">
        <f t="shared" si="32"/>
        <v>Huyện Lâm Thao - Phú Thọ</v>
      </c>
      <c r="D498" s="25" t="s">
        <v>3141</v>
      </c>
      <c r="E498" s="25" t="s">
        <v>3145</v>
      </c>
      <c r="F498" s="23">
        <f t="shared" si="33"/>
        <v>1</v>
      </c>
      <c r="G498" s="23">
        <f t="shared" si="34"/>
        <v>1</v>
      </c>
    </row>
    <row r="499" spans="1:7" x14ac:dyDescent="0.35">
      <c r="A499" s="25" t="s">
        <v>526</v>
      </c>
      <c r="B499" s="25" t="s">
        <v>2986</v>
      </c>
      <c r="C499" s="25" t="str">
        <f t="shared" si="32"/>
        <v>Huyện Phù Ninh - Phú Thọ</v>
      </c>
      <c r="D499" s="25" t="s">
        <v>3141</v>
      </c>
      <c r="E499" s="25" t="s">
        <v>3145</v>
      </c>
      <c r="F499" s="23">
        <f t="shared" si="33"/>
        <v>1</v>
      </c>
      <c r="G499" s="23">
        <f t="shared" si="34"/>
        <v>1</v>
      </c>
    </row>
    <row r="500" spans="1:7" x14ac:dyDescent="0.35">
      <c r="A500" s="25" t="s">
        <v>526</v>
      </c>
      <c r="B500" s="25" t="s">
        <v>2679</v>
      </c>
      <c r="C500" s="25" t="str">
        <f t="shared" si="32"/>
        <v>Huyện Tam Nông - Phú Thọ</v>
      </c>
      <c r="D500" s="25" t="s">
        <v>3141</v>
      </c>
      <c r="E500" s="25" t="s">
        <v>3145</v>
      </c>
      <c r="F500" s="23">
        <f t="shared" si="33"/>
        <v>2</v>
      </c>
      <c r="G500" s="23">
        <f t="shared" si="34"/>
        <v>1</v>
      </c>
    </row>
    <row r="501" spans="1:7" x14ac:dyDescent="0.35">
      <c r="A501" s="25" t="s">
        <v>526</v>
      </c>
      <c r="B501" s="25" t="s">
        <v>3010</v>
      </c>
      <c r="C501" s="25" t="str">
        <f t="shared" si="32"/>
        <v>Huyện Tân Sơn - Phú Thọ</v>
      </c>
      <c r="D501" s="25" t="s">
        <v>3139</v>
      </c>
      <c r="E501" s="25" t="s">
        <v>3145</v>
      </c>
      <c r="F501" s="23">
        <f t="shared" si="33"/>
        <v>1</v>
      </c>
      <c r="G501" s="23">
        <f t="shared" si="34"/>
        <v>1</v>
      </c>
    </row>
    <row r="502" spans="1:7" x14ac:dyDescent="0.35">
      <c r="A502" s="25" t="s">
        <v>526</v>
      </c>
      <c r="B502" s="25" t="s">
        <v>3036</v>
      </c>
      <c r="C502" s="25" t="str">
        <f t="shared" si="32"/>
        <v>Huyện Thanh Ba - Phú Thọ</v>
      </c>
      <c r="D502" s="25" t="s">
        <v>3139</v>
      </c>
      <c r="E502" s="25" t="s">
        <v>3145</v>
      </c>
      <c r="F502" s="23">
        <f t="shared" si="33"/>
        <v>1</v>
      </c>
      <c r="G502" s="23">
        <f t="shared" si="34"/>
        <v>1</v>
      </c>
    </row>
    <row r="503" spans="1:7" x14ac:dyDescent="0.35">
      <c r="A503" s="25" t="s">
        <v>526</v>
      </c>
      <c r="B503" s="25" t="s">
        <v>2976</v>
      </c>
      <c r="C503" s="25" t="str">
        <f t="shared" si="32"/>
        <v>Huyện Thanh Sơn - Phú Thọ</v>
      </c>
      <c r="D503" s="25" t="s">
        <v>3139</v>
      </c>
      <c r="E503" s="25" t="s">
        <v>3145</v>
      </c>
      <c r="F503" s="23">
        <f t="shared" si="33"/>
        <v>1</v>
      </c>
      <c r="G503" s="23">
        <f t="shared" si="34"/>
        <v>1</v>
      </c>
    </row>
    <row r="504" spans="1:7" x14ac:dyDescent="0.35">
      <c r="A504" s="25" t="s">
        <v>526</v>
      </c>
      <c r="B504" s="26" t="s">
        <v>3074</v>
      </c>
      <c r="C504" s="25" t="str">
        <f t="shared" si="32"/>
        <v>Huyện Thanh Thủy - Phú Thọ</v>
      </c>
      <c r="D504" s="25" t="s">
        <v>3139</v>
      </c>
      <c r="E504" s="25" t="s">
        <v>3145</v>
      </c>
      <c r="F504" s="23">
        <f t="shared" si="33"/>
        <v>1</v>
      </c>
      <c r="G504" s="23">
        <f t="shared" si="34"/>
        <v>1</v>
      </c>
    </row>
    <row r="505" spans="1:7" x14ac:dyDescent="0.35">
      <c r="A505" s="25" t="s">
        <v>526</v>
      </c>
      <c r="B505" s="25" t="s">
        <v>3089</v>
      </c>
      <c r="C505" s="25" t="str">
        <f t="shared" si="32"/>
        <v>Huyện Yên Lập - Phú Thọ</v>
      </c>
      <c r="D505" s="25" t="s">
        <v>3139</v>
      </c>
      <c r="E505" s="25" t="s">
        <v>3145</v>
      </c>
      <c r="F505" s="23">
        <f t="shared" si="33"/>
        <v>1</v>
      </c>
      <c r="G505" s="23">
        <f t="shared" si="34"/>
        <v>1</v>
      </c>
    </row>
    <row r="506" spans="1:7" x14ac:dyDescent="0.35">
      <c r="A506" s="25" t="s">
        <v>526</v>
      </c>
      <c r="B506" s="25" t="s">
        <v>2831</v>
      </c>
      <c r="C506" s="25" t="str">
        <f t="shared" si="32"/>
        <v>Thành phố Việt Trì - Phú Thọ</v>
      </c>
      <c r="D506" s="25" t="s">
        <v>3142</v>
      </c>
      <c r="E506" s="25" t="s">
        <v>3145</v>
      </c>
      <c r="F506" s="23">
        <f t="shared" si="33"/>
        <v>1</v>
      </c>
      <c r="G506" s="23">
        <f t="shared" si="34"/>
        <v>1</v>
      </c>
    </row>
    <row r="507" spans="1:7" x14ac:dyDescent="0.35">
      <c r="A507" s="25" t="s">
        <v>526</v>
      </c>
      <c r="B507" s="25" t="s">
        <v>2979</v>
      </c>
      <c r="C507" s="25" t="str">
        <f t="shared" si="32"/>
        <v>Thị xã Phú Thọ - Phú Thọ</v>
      </c>
      <c r="D507" s="25" t="s">
        <v>3141</v>
      </c>
      <c r="E507" s="25" t="s">
        <v>3145</v>
      </c>
      <c r="F507" s="23">
        <f t="shared" si="33"/>
        <v>1</v>
      </c>
      <c r="G507" s="23">
        <f t="shared" si="34"/>
        <v>1</v>
      </c>
    </row>
    <row r="508" spans="1:7" x14ac:dyDescent="0.35">
      <c r="A508" s="25" t="s">
        <v>560</v>
      </c>
      <c r="B508" s="25" t="s">
        <v>2687</v>
      </c>
      <c r="C508" s="25" t="str">
        <f t="shared" si="32"/>
        <v>Huyện Đông Hòa - Phú Yên</v>
      </c>
      <c r="D508" s="25" t="s">
        <v>3139</v>
      </c>
      <c r="E508" s="25" t="s">
        <v>3148</v>
      </c>
      <c r="F508" s="23">
        <f t="shared" si="33"/>
        <v>1</v>
      </c>
      <c r="G508" s="23">
        <f t="shared" si="34"/>
        <v>1</v>
      </c>
    </row>
    <row r="509" spans="1:7" x14ac:dyDescent="0.35">
      <c r="A509" s="25" t="s">
        <v>560</v>
      </c>
      <c r="B509" s="25" t="s">
        <v>2701</v>
      </c>
      <c r="C509" s="25" t="str">
        <f t="shared" si="32"/>
        <v>Huyện Đồng Xuân - Phú Yên</v>
      </c>
      <c r="D509" s="25" t="s">
        <v>3139</v>
      </c>
      <c r="E509" s="25" t="s">
        <v>3148</v>
      </c>
      <c r="F509" s="23">
        <f t="shared" si="33"/>
        <v>1</v>
      </c>
      <c r="G509" s="23">
        <f t="shared" si="34"/>
        <v>1</v>
      </c>
    </row>
    <row r="510" spans="1:7" x14ac:dyDescent="0.35">
      <c r="A510" s="25" t="s">
        <v>560</v>
      </c>
      <c r="B510" s="26" t="s">
        <v>2545</v>
      </c>
      <c r="C510" s="25" t="str">
        <f t="shared" si="32"/>
        <v>Huyện Phú Hòa - Phú Yên</v>
      </c>
      <c r="D510" s="25" t="s">
        <v>3141</v>
      </c>
      <c r="E510" s="25" t="s">
        <v>3148</v>
      </c>
      <c r="F510" s="23">
        <f t="shared" si="33"/>
        <v>1</v>
      </c>
      <c r="G510" s="23">
        <f t="shared" si="34"/>
        <v>1</v>
      </c>
    </row>
    <row r="511" spans="1:7" x14ac:dyDescent="0.35">
      <c r="A511" s="25" t="s">
        <v>560</v>
      </c>
      <c r="B511" s="25" t="s">
        <v>2650</v>
      </c>
      <c r="C511" s="25" t="str">
        <f t="shared" si="32"/>
        <v>Huyện Sơn Hòa - Phú Yên</v>
      </c>
      <c r="D511" s="25" t="s">
        <v>3139</v>
      </c>
      <c r="E511" s="25" t="s">
        <v>3148</v>
      </c>
      <c r="F511" s="23">
        <f t="shared" si="33"/>
        <v>1</v>
      </c>
      <c r="G511" s="23">
        <f t="shared" si="34"/>
        <v>1</v>
      </c>
    </row>
    <row r="512" spans="1:7" x14ac:dyDescent="0.35">
      <c r="A512" s="25" t="s">
        <v>560</v>
      </c>
      <c r="B512" s="25" t="s">
        <v>2726</v>
      </c>
      <c r="C512" s="25" t="str">
        <f t="shared" si="32"/>
        <v>Huyện Sông Hinh - Phú Yên</v>
      </c>
      <c r="D512" s="25" t="s">
        <v>3139</v>
      </c>
      <c r="E512" s="25" t="s">
        <v>3148</v>
      </c>
      <c r="F512" s="23">
        <f t="shared" si="33"/>
        <v>1</v>
      </c>
      <c r="G512" s="23">
        <f t="shared" si="34"/>
        <v>1</v>
      </c>
    </row>
    <row r="513" spans="1:7" x14ac:dyDescent="0.35">
      <c r="A513" s="25" t="s">
        <v>560</v>
      </c>
      <c r="B513" s="26" t="s">
        <v>2699</v>
      </c>
      <c r="C513" s="25" t="str">
        <f t="shared" si="32"/>
        <v>Huyện Tây Hòa - Phú Yên</v>
      </c>
      <c r="D513" s="25" t="s">
        <v>3139</v>
      </c>
      <c r="E513" s="25" t="s">
        <v>3148</v>
      </c>
      <c r="F513" s="23">
        <f t="shared" si="33"/>
        <v>1</v>
      </c>
      <c r="G513" s="23">
        <f t="shared" si="34"/>
        <v>1</v>
      </c>
    </row>
    <row r="514" spans="1:7" x14ac:dyDescent="0.35">
      <c r="A514" s="25" t="s">
        <v>560</v>
      </c>
      <c r="B514" s="25" t="s">
        <v>2702</v>
      </c>
      <c r="C514" s="25" t="str">
        <f t="shared" si="32"/>
        <v>Huyện Tuy An - Phú Yên</v>
      </c>
      <c r="D514" s="25" t="s">
        <v>3139</v>
      </c>
      <c r="E514" s="25" t="s">
        <v>3148</v>
      </c>
      <c r="F514" s="23">
        <f t="shared" si="33"/>
        <v>1</v>
      </c>
      <c r="G514" s="23">
        <f t="shared" si="34"/>
        <v>1</v>
      </c>
    </row>
    <row r="515" spans="1:7" x14ac:dyDescent="0.35">
      <c r="A515" s="25" t="s">
        <v>560</v>
      </c>
      <c r="B515" s="26" t="s">
        <v>2516</v>
      </c>
      <c r="C515" s="25" t="str">
        <f t="shared" si="32"/>
        <v>Thành phố Tuy Hòa - Phú Yên</v>
      </c>
      <c r="D515" s="25" t="s">
        <v>3142</v>
      </c>
      <c r="E515" s="25" t="s">
        <v>3148</v>
      </c>
      <c r="F515" s="23">
        <f t="shared" si="33"/>
        <v>1</v>
      </c>
      <c r="G515" s="23">
        <f t="shared" si="34"/>
        <v>1</v>
      </c>
    </row>
    <row r="516" spans="1:7" x14ac:dyDescent="0.35">
      <c r="A516" s="25" t="s">
        <v>560</v>
      </c>
      <c r="B516" s="25" t="s">
        <v>3168</v>
      </c>
      <c r="C516" s="25" t="str">
        <f t="shared" si="32"/>
        <v>Thị xã Sông Cầu - Phú Yên</v>
      </c>
      <c r="D516" s="25" t="s">
        <v>3139</v>
      </c>
      <c r="E516" s="25" t="s">
        <v>3148</v>
      </c>
      <c r="F516" s="23">
        <f t="shared" si="33"/>
        <v>1</v>
      </c>
      <c r="G516" s="23">
        <f t="shared" si="34"/>
        <v>1</v>
      </c>
    </row>
    <row r="517" spans="1:7" x14ac:dyDescent="0.35">
      <c r="A517" s="25" t="s">
        <v>536</v>
      </c>
      <c r="B517" s="25" t="s">
        <v>2750</v>
      </c>
      <c r="C517" s="25" t="str">
        <f t="shared" si="32"/>
        <v>Huyện Bố Trạch - Quảng Bình</v>
      </c>
      <c r="D517" s="25" t="s">
        <v>3139</v>
      </c>
      <c r="E517" s="25" t="s">
        <v>3152</v>
      </c>
      <c r="F517" s="23">
        <f t="shared" si="33"/>
        <v>1</v>
      </c>
      <c r="G517" s="23">
        <f t="shared" si="34"/>
        <v>1</v>
      </c>
    </row>
    <row r="518" spans="1:7" x14ac:dyDescent="0.35">
      <c r="A518" s="25" t="s">
        <v>536</v>
      </c>
      <c r="B518" s="25" t="s">
        <v>2768</v>
      </c>
      <c r="C518" s="25" t="str">
        <f t="shared" si="32"/>
        <v>Huyện Lệ Thủy - Quảng Bình</v>
      </c>
      <c r="D518" s="25" t="s">
        <v>3139</v>
      </c>
      <c r="E518" s="25" t="s">
        <v>3152</v>
      </c>
      <c r="F518" s="23">
        <f t="shared" si="33"/>
        <v>1</v>
      </c>
      <c r="G518" s="23">
        <f t="shared" si="34"/>
        <v>1</v>
      </c>
    </row>
    <row r="519" spans="1:7" x14ac:dyDescent="0.35">
      <c r="A519" s="25" t="s">
        <v>536</v>
      </c>
      <c r="B519" s="25" t="s">
        <v>2780</v>
      </c>
      <c r="C519" s="25" t="str">
        <f t="shared" ref="C519:C582" si="35">B519&amp;" - "&amp;A519</f>
        <v>Huyện Minh Hóa - Quảng Bình</v>
      </c>
      <c r="D519" s="25" t="s">
        <v>3139</v>
      </c>
      <c r="E519" s="25" t="s">
        <v>3152</v>
      </c>
      <c r="F519" s="23">
        <f t="shared" si="33"/>
        <v>1</v>
      </c>
      <c r="G519" s="23">
        <f t="shared" si="34"/>
        <v>1</v>
      </c>
    </row>
    <row r="520" spans="1:7" x14ac:dyDescent="0.35">
      <c r="A520" s="25" t="s">
        <v>536</v>
      </c>
      <c r="B520" s="25" t="s">
        <v>2759</v>
      </c>
      <c r="C520" s="25" t="str">
        <f t="shared" si="35"/>
        <v>Huyện Quảng Ninh - Quảng Bình</v>
      </c>
      <c r="D520" s="25" t="s">
        <v>3141</v>
      </c>
      <c r="E520" s="25" t="s">
        <v>3152</v>
      </c>
      <c r="F520" s="23">
        <f t="shared" si="33"/>
        <v>1</v>
      </c>
      <c r="G520" s="23">
        <f t="shared" si="34"/>
        <v>1</v>
      </c>
    </row>
    <row r="521" spans="1:7" x14ac:dyDescent="0.35">
      <c r="A521" s="25" t="s">
        <v>536</v>
      </c>
      <c r="B521" s="25" t="s">
        <v>2781</v>
      </c>
      <c r="C521" s="25" t="str">
        <f t="shared" si="35"/>
        <v>Huyện Quảng Trạch - Quảng Bình</v>
      </c>
      <c r="D521" s="25" t="s">
        <v>3139</v>
      </c>
      <c r="E521" s="25" t="s">
        <v>3152</v>
      </c>
      <c r="F521" s="23">
        <f t="shared" si="33"/>
        <v>1</v>
      </c>
      <c r="G521" s="23">
        <f t="shared" si="34"/>
        <v>1</v>
      </c>
    </row>
    <row r="522" spans="1:7" x14ac:dyDescent="0.35">
      <c r="A522" s="25" t="s">
        <v>536</v>
      </c>
      <c r="B522" s="25" t="s">
        <v>2789</v>
      </c>
      <c r="C522" s="25" t="str">
        <f t="shared" si="35"/>
        <v>Huyện Tuyên Hóa - Quảng Bình</v>
      </c>
      <c r="D522" s="25" t="s">
        <v>3139</v>
      </c>
      <c r="E522" s="25" t="s">
        <v>3152</v>
      </c>
      <c r="F522" s="23">
        <f t="shared" ref="F522:F585" si="36">COUNTIF($B:$B,B522)</f>
        <v>1</v>
      </c>
      <c r="G522" s="23">
        <f t="shared" ref="G522:G585" si="37">COUNTIF($C:$C,C522)</f>
        <v>1</v>
      </c>
    </row>
    <row r="523" spans="1:7" x14ac:dyDescent="0.35">
      <c r="A523" s="25" t="s">
        <v>536</v>
      </c>
      <c r="B523" s="25" t="s">
        <v>3169</v>
      </c>
      <c r="C523" s="25" t="str">
        <f t="shared" si="35"/>
        <v>Thành Phố Đồng Hới - Quảng Bình</v>
      </c>
      <c r="D523" s="25" t="s">
        <v>3142</v>
      </c>
      <c r="E523" s="25" t="s">
        <v>3152</v>
      </c>
      <c r="F523" s="23">
        <f t="shared" si="36"/>
        <v>1</v>
      </c>
      <c r="G523" s="23">
        <f t="shared" si="37"/>
        <v>1</v>
      </c>
    </row>
    <row r="524" spans="1:7" x14ac:dyDescent="0.35">
      <c r="A524" s="25" t="s">
        <v>536</v>
      </c>
      <c r="B524" s="25" t="s">
        <v>2771</v>
      </c>
      <c r="C524" s="25" t="str">
        <f t="shared" si="35"/>
        <v>Thị xã Ba Đồn - Quảng Bình</v>
      </c>
      <c r="D524" s="25" t="s">
        <v>3139</v>
      </c>
      <c r="E524" s="25" t="s">
        <v>3152</v>
      </c>
      <c r="F524" s="23">
        <f t="shared" si="36"/>
        <v>1</v>
      </c>
      <c r="G524" s="23">
        <f t="shared" si="37"/>
        <v>1</v>
      </c>
    </row>
    <row r="525" spans="1:7" x14ac:dyDescent="0.35">
      <c r="A525" s="25" t="s">
        <v>538</v>
      </c>
      <c r="B525" s="25" t="s">
        <v>2786</v>
      </c>
      <c r="C525" s="25" t="str">
        <f t="shared" si="35"/>
        <v>Huyện Bắc Trà My - Quảng Nam</v>
      </c>
      <c r="D525" s="25" t="s">
        <v>3139</v>
      </c>
      <c r="E525" s="25" t="s">
        <v>3152</v>
      </c>
      <c r="F525" s="23">
        <f t="shared" si="36"/>
        <v>1</v>
      </c>
      <c r="G525" s="23">
        <f t="shared" si="37"/>
        <v>1</v>
      </c>
    </row>
    <row r="526" spans="1:7" x14ac:dyDescent="0.35">
      <c r="A526" s="25" t="s">
        <v>538</v>
      </c>
      <c r="B526" s="25" t="s">
        <v>2779</v>
      </c>
      <c r="C526" s="25" t="str">
        <f t="shared" si="35"/>
        <v>Huyện Đại Lộc - Quảng Nam</v>
      </c>
      <c r="D526" s="25" t="s">
        <v>3139</v>
      </c>
      <c r="E526" s="25" t="s">
        <v>3152</v>
      </c>
      <c r="F526" s="23">
        <f t="shared" si="36"/>
        <v>1</v>
      </c>
      <c r="G526" s="23">
        <f t="shared" si="37"/>
        <v>1</v>
      </c>
    </row>
    <row r="527" spans="1:7" x14ac:dyDescent="0.35">
      <c r="A527" s="25" t="s">
        <v>538</v>
      </c>
      <c r="B527" s="25" t="s">
        <v>2783</v>
      </c>
      <c r="C527" s="25" t="str">
        <f t="shared" si="35"/>
        <v>Huyện Đông Giang - Quảng Nam</v>
      </c>
      <c r="D527" s="25" t="s">
        <v>3139</v>
      </c>
      <c r="E527" s="25" t="s">
        <v>3152</v>
      </c>
      <c r="F527" s="23">
        <f t="shared" si="36"/>
        <v>1</v>
      </c>
      <c r="G527" s="23">
        <f t="shared" si="37"/>
        <v>1</v>
      </c>
    </row>
    <row r="528" spans="1:7" x14ac:dyDescent="0.35">
      <c r="A528" s="25" t="s">
        <v>538</v>
      </c>
      <c r="B528" s="25" t="s">
        <v>2752</v>
      </c>
      <c r="C528" s="25" t="str">
        <f t="shared" si="35"/>
        <v>Huyện Duy Xuyên - Quảng Nam</v>
      </c>
      <c r="D528" s="25" t="s">
        <v>3141</v>
      </c>
      <c r="E528" s="25" t="s">
        <v>3152</v>
      </c>
      <c r="F528" s="23">
        <f t="shared" si="36"/>
        <v>1</v>
      </c>
      <c r="G528" s="23">
        <f t="shared" si="37"/>
        <v>1</v>
      </c>
    </row>
    <row r="529" spans="1:7" x14ac:dyDescent="0.35">
      <c r="A529" s="25" t="s">
        <v>538</v>
      </c>
      <c r="B529" s="25" t="s">
        <v>2785</v>
      </c>
      <c r="C529" s="25" t="str">
        <f t="shared" si="35"/>
        <v>Huyện Hiệp Đức - Quảng Nam</v>
      </c>
      <c r="D529" s="25" t="s">
        <v>3139</v>
      </c>
      <c r="E529" s="25" t="s">
        <v>3152</v>
      </c>
      <c r="F529" s="23">
        <f t="shared" si="36"/>
        <v>1</v>
      </c>
      <c r="G529" s="23">
        <f t="shared" si="37"/>
        <v>1</v>
      </c>
    </row>
    <row r="530" spans="1:7" x14ac:dyDescent="0.35">
      <c r="A530" s="25" t="s">
        <v>538</v>
      </c>
      <c r="B530" s="25" t="s">
        <v>2799</v>
      </c>
      <c r="C530" s="25" t="str">
        <f t="shared" si="35"/>
        <v>Huyện Nam Giang - Quảng Nam</v>
      </c>
      <c r="D530" s="25" t="s">
        <v>3139</v>
      </c>
      <c r="E530" s="25" t="s">
        <v>3152</v>
      </c>
      <c r="F530" s="23">
        <f t="shared" si="36"/>
        <v>1</v>
      </c>
      <c r="G530" s="23">
        <f t="shared" si="37"/>
        <v>1</v>
      </c>
    </row>
    <row r="531" spans="1:7" x14ac:dyDescent="0.35">
      <c r="A531" s="25" t="s">
        <v>538</v>
      </c>
      <c r="B531" s="25" t="s">
        <v>2793</v>
      </c>
      <c r="C531" s="25" t="str">
        <f t="shared" si="35"/>
        <v>Huyện Nam Trà My - Quảng Nam</v>
      </c>
      <c r="D531" s="25" t="s">
        <v>3139</v>
      </c>
      <c r="E531" s="25" t="s">
        <v>3152</v>
      </c>
      <c r="F531" s="23">
        <f t="shared" si="36"/>
        <v>1</v>
      </c>
      <c r="G531" s="23">
        <f t="shared" si="37"/>
        <v>1</v>
      </c>
    </row>
    <row r="532" spans="1:7" x14ac:dyDescent="0.35">
      <c r="A532" s="25" t="s">
        <v>538</v>
      </c>
      <c r="B532" s="25" t="s">
        <v>2798</v>
      </c>
      <c r="C532" s="25" t="str">
        <f t="shared" si="35"/>
        <v>Huyện Nông Sơn - Quảng Nam</v>
      </c>
      <c r="D532" s="25" t="s">
        <v>3139</v>
      </c>
      <c r="E532" s="25" t="s">
        <v>3152</v>
      </c>
      <c r="F532" s="23">
        <f t="shared" si="36"/>
        <v>1</v>
      </c>
      <c r="G532" s="23">
        <f t="shared" si="37"/>
        <v>1</v>
      </c>
    </row>
    <row r="533" spans="1:7" x14ac:dyDescent="0.35">
      <c r="A533" s="25" t="s">
        <v>538</v>
      </c>
      <c r="B533" s="25" t="s">
        <v>2777</v>
      </c>
      <c r="C533" s="25" t="str">
        <f t="shared" si="35"/>
        <v>Huyện Núi Thành - Quảng Nam</v>
      </c>
      <c r="D533" s="25" t="s">
        <v>3139</v>
      </c>
      <c r="E533" s="25" t="s">
        <v>3152</v>
      </c>
      <c r="F533" s="23">
        <f t="shared" si="36"/>
        <v>1</v>
      </c>
      <c r="G533" s="23">
        <f t="shared" si="37"/>
        <v>1</v>
      </c>
    </row>
    <row r="534" spans="1:7" x14ac:dyDescent="0.35">
      <c r="A534" s="25" t="s">
        <v>538</v>
      </c>
      <c r="B534" s="25" t="s">
        <v>2763</v>
      </c>
      <c r="C534" s="25" t="str">
        <f t="shared" si="35"/>
        <v>Huyện Phú Ninh - Quảng Nam</v>
      </c>
      <c r="D534" s="25" t="s">
        <v>3141</v>
      </c>
      <c r="E534" s="25" t="s">
        <v>3152</v>
      </c>
      <c r="F534" s="23">
        <f t="shared" si="36"/>
        <v>1</v>
      </c>
      <c r="G534" s="23">
        <f t="shared" si="37"/>
        <v>1</v>
      </c>
    </row>
    <row r="535" spans="1:7" x14ac:dyDescent="0.35">
      <c r="A535" s="25" t="s">
        <v>538</v>
      </c>
      <c r="B535" s="25" t="s">
        <v>2794</v>
      </c>
      <c r="C535" s="25" t="str">
        <f t="shared" si="35"/>
        <v>Huyện Phước Sơn - Quảng Nam</v>
      </c>
      <c r="D535" s="25" t="s">
        <v>3139</v>
      </c>
      <c r="E535" s="25" t="s">
        <v>3152</v>
      </c>
      <c r="F535" s="23">
        <f t="shared" si="36"/>
        <v>1</v>
      </c>
      <c r="G535" s="23">
        <f t="shared" si="37"/>
        <v>1</v>
      </c>
    </row>
    <row r="536" spans="1:7" x14ac:dyDescent="0.35">
      <c r="A536" s="25" t="s">
        <v>538</v>
      </c>
      <c r="B536" s="25" t="s">
        <v>2776</v>
      </c>
      <c r="C536" s="25" t="str">
        <f t="shared" si="35"/>
        <v>Huyện Quế Sơn - Quảng Nam</v>
      </c>
      <c r="D536" s="25" t="s">
        <v>3139</v>
      </c>
      <c r="E536" s="25" t="s">
        <v>3152</v>
      </c>
      <c r="F536" s="23">
        <f t="shared" si="36"/>
        <v>1</v>
      </c>
      <c r="G536" s="23">
        <f t="shared" si="37"/>
        <v>1</v>
      </c>
    </row>
    <row r="537" spans="1:7" x14ac:dyDescent="0.35">
      <c r="A537" s="25" t="s">
        <v>538</v>
      </c>
      <c r="B537" s="25" t="s">
        <v>2795</v>
      </c>
      <c r="C537" s="25" t="str">
        <f t="shared" si="35"/>
        <v>Huyện Tây Giang - Quảng Nam</v>
      </c>
      <c r="D537" s="25" t="s">
        <v>3139</v>
      </c>
      <c r="E537" s="25" t="s">
        <v>3152</v>
      </c>
      <c r="F537" s="23">
        <f t="shared" si="36"/>
        <v>1</v>
      </c>
      <c r="G537" s="23">
        <f t="shared" si="37"/>
        <v>1</v>
      </c>
    </row>
    <row r="538" spans="1:7" x14ac:dyDescent="0.35">
      <c r="A538" s="25" t="s">
        <v>538</v>
      </c>
      <c r="B538" s="25" t="s">
        <v>2766</v>
      </c>
      <c r="C538" s="25" t="str">
        <f t="shared" si="35"/>
        <v>Huyện Thăng Bình - Quảng Nam</v>
      </c>
      <c r="D538" s="25" t="s">
        <v>3139</v>
      </c>
      <c r="E538" s="25" t="s">
        <v>3152</v>
      </c>
      <c r="F538" s="23">
        <f t="shared" si="36"/>
        <v>1</v>
      </c>
      <c r="G538" s="23">
        <f t="shared" si="37"/>
        <v>1</v>
      </c>
    </row>
    <row r="539" spans="1:7" x14ac:dyDescent="0.35">
      <c r="A539" s="25" t="s">
        <v>538</v>
      </c>
      <c r="B539" s="25" t="s">
        <v>2784</v>
      </c>
      <c r="C539" s="25" t="str">
        <f t="shared" si="35"/>
        <v>Huyện Tiên Phước - Quảng Nam</v>
      </c>
      <c r="D539" s="25" t="s">
        <v>3139</v>
      </c>
      <c r="E539" s="25" t="s">
        <v>3152</v>
      </c>
      <c r="F539" s="23">
        <f t="shared" si="36"/>
        <v>1</v>
      </c>
      <c r="G539" s="23">
        <f t="shared" si="37"/>
        <v>1</v>
      </c>
    </row>
    <row r="540" spans="1:7" x14ac:dyDescent="0.35">
      <c r="A540" s="25" t="s">
        <v>538</v>
      </c>
      <c r="B540" s="25" t="s">
        <v>2745</v>
      </c>
      <c r="C540" s="25" t="str">
        <f t="shared" si="35"/>
        <v>Thành phố Hội An - Quảng Nam</v>
      </c>
      <c r="D540" s="25" t="s">
        <v>3142</v>
      </c>
      <c r="E540" s="25" t="s">
        <v>3152</v>
      </c>
      <c r="F540" s="23">
        <f t="shared" si="36"/>
        <v>1</v>
      </c>
      <c r="G540" s="23">
        <f t="shared" si="37"/>
        <v>1</v>
      </c>
    </row>
    <row r="541" spans="1:7" x14ac:dyDescent="0.35">
      <c r="A541" s="25" t="s">
        <v>538</v>
      </c>
      <c r="B541" s="25" t="s">
        <v>2748</v>
      </c>
      <c r="C541" s="25" t="str">
        <f t="shared" si="35"/>
        <v>Thành phố Tam Kỳ - Quảng Nam</v>
      </c>
      <c r="D541" s="25" t="s">
        <v>3141</v>
      </c>
      <c r="E541" s="25" t="s">
        <v>3152</v>
      </c>
      <c r="F541" s="23">
        <f t="shared" si="36"/>
        <v>1</v>
      </c>
      <c r="G541" s="23">
        <f t="shared" si="37"/>
        <v>1</v>
      </c>
    </row>
    <row r="542" spans="1:7" x14ac:dyDescent="0.35">
      <c r="A542" s="25" t="s">
        <v>538</v>
      </c>
      <c r="B542" s="26" t="s">
        <v>2751</v>
      </c>
      <c r="C542" s="25" t="str">
        <f t="shared" si="35"/>
        <v>Huyện Điện Bàn - Quảng Nam</v>
      </c>
      <c r="D542" s="25" t="s">
        <v>3141</v>
      </c>
      <c r="E542" s="25" t="s">
        <v>3152</v>
      </c>
      <c r="F542" s="23">
        <f t="shared" si="36"/>
        <v>1</v>
      </c>
      <c r="G542" s="23">
        <f t="shared" si="37"/>
        <v>1</v>
      </c>
    </row>
    <row r="543" spans="1:7" x14ac:dyDescent="0.35">
      <c r="A543" s="25" t="s">
        <v>539</v>
      </c>
      <c r="B543" s="25" t="s">
        <v>2787</v>
      </c>
      <c r="C543" s="25" t="str">
        <f t="shared" si="35"/>
        <v>Huyện Ba Tơ - Quảng Ngãi</v>
      </c>
      <c r="D543" s="25" t="s">
        <v>3139</v>
      </c>
      <c r="E543" s="25" t="s">
        <v>3152</v>
      </c>
      <c r="F543" s="23">
        <f t="shared" si="36"/>
        <v>1</v>
      </c>
      <c r="G543" s="23">
        <f t="shared" si="37"/>
        <v>1</v>
      </c>
    </row>
    <row r="544" spans="1:7" x14ac:dyDescent="0.35">
      <c r="A544" s="25" t="s">
        <v>539</v>
      </c>
      <c r="B544" s="25" t="s">
        <v>2774</v>
      </c>
      <c r="C544" s="25" t="str">
        <f t="shared" si="35"/>
        <v>Huyện Bình Sơn - Quảng Ngãi</v>
      </c>
      <c r="D544" s="25" t="s">
        <v>3139</v>
      </c>
      <c r="E544" s="25" t="s">
        <v>3152</v>
      </c>
      <c r="F544" s="23">
        <f t="shared" si="36"/>
        <v>1</v>
      </c>
      <c r="G544" s="23">
        <f t="shared" si="37"/>
        <v>1</v>
      </c>
    </row>
    <row r="545" spans="1:7" x14ac:dyDescent="0.35">
      <c r="A545" s="25" t="s">
        <v>539</v>
      </c>
      <c r="B545" s="25" t="s">
        <v>2778</v>
      </c>
      <c r="C545" s="25" t="str">
        <f t="shared" si="35"/>
        <v>Huyện Đức Phổ - Quảng Ngãi</v>
      </c>
      <c r="D545" s="25" t="s">
        <v>3139</v>
      </c>
      <c r="E545" s="25" t="s">
        <v>3152</v>
      </c>
      <c r="F545" s="23">
        <f t="shared" si="36"/>
        <v>1</v>
      </c>
      <c r="G545" s="23">
        <f t="shared" si="37"/>
        <v>1</v>
      </c>
    </row>
    <row r="546" spans="1:7" x14ac:dyDescent="0.35">
      <c r="A546" s="25" t="s">
        <v>539</v>
      </c>
      <c r="B546" s="26" t="s">
        <v>2754</v>
      </c>
      <c r="C546" s="25" t="str">
        <f t="shared" si="35"/>
        <v>Huyện đảo Lý Sơn - Quảng Ngãi</v>
      </c>
      <c r="D546" s="25" t="s">
        <v>3139</v>
      </c>
      <c r="E546" s="25" t="s">
        <v>3152</v>
      </c>
      <c r="F546" s="23">
        <f t="shared" si="36"/>
        <v>1</v>
      </c>
      <c r="G546" s="23">
        <f t="shared" si="37"/>
        <v>1</v>
      </c>
    </row>
    <row r="547" spans="1:7" x14ac:dyDescent="0.35">
      <c r="A547" s="25" t="s">
        <v>539</v>
      </c>
      <c r="B547" s="25" t="s">
        <v>2790</v>
      </c>
      <c r="C547" s="25" t="str">
        <f t="shared" si="35"/>
        <v>Huyện Minh Long - Quảng Ngãi</v>
      </c>
      <c r="D547" s="25" t="s">
        <v>3139</v>
      </c>
      <c r="E547" s="25" t="s">
        <v>3152</v>
      </c>
      <c r="F547" s="23">
        <f t="shared" si="36"/>
        <v>1</v>
      </c>
      <c r="G547" s="23">
        <f t="shared" si="37"/>
        <v>1</v>
      </c>
    </row>
    <row r="548" spans="1:7" x14ac:dyDescent="0.35">
      <c r="A548" s="25" t="s">
        <v>539</v>
      </c>
      <c r="B548" s="25" t="s">
        <v>2762</v>
      </c>
      <c r="C548" s="25" t="str">
        <f t="shared" si="35"/>
        <v>Huyện Mộ Đức - Quảng Ngãi</v>
      </c>
      <c r="D548" s="25" t="s">
        <v>3139</v>
      </c>
      <c r="E548" s="25" t="s">
        <v>3152</v>
      </c>
      <c r="F548" s="23">
        <f t="shared" si="36"/>
        <v>1</v>
      </c>
      <c r="G548" s="23">
        <f t="shared" si="37"/>
        <v>1</v>
      </c>
    </row>
    <row r="549" spans="1:7" x14ac:dyDescent="0.35">
      <c r="A549" s="25" t="s">
        <v>539</v>
      </c>
      <c r="B549" s="25" t="s">
        <v>2764</v>
      </c>
      <c r="C549" s="25" t="str">
        <f t="shared" si="35"/>
        <v>Huyện Nghĩa Hành - Quảng Ngãi</v>
      </c>
      <c r="D549" s="25" t="s">
        <v>3141</v>
      </c>
      <c r="E549" s="25" t="s">
        <v>3152</v>
      </c>
      <c r="F549" s="23">
        <f t="shared" si="36"/>
        <v>1</v>
      </c>
      <c r="G549" s="23">
        <f t="shared" si="37"/>
        <v>1</v>
      </c>
    </row>
    <row r="550" spans="1:7" x14ac:dyDescent="0.35">
      <c r="A550" s="25" t="s">
        <v>539</v>
      </c>
      <c r="B550" s="25" t="s">
        <v>2791</v>
      </c>
      <c r="C550" s="25" t="str">
        <f t="shared" si="35"/>
        <v>Huyện Sơn Hà - Quảng Ngãi</v>
      </c>
      <c r="D550" s="25" t="s">
        <v>3139</v>
      </c>
      <c r="E550" s="25" t="s">
        <v>3152</v>
      </c>
      <c r="F550" s="23">
        <f t="shared" si="36"/>
        <v>1</v>
      </c>
      <c r="G550" s="23">
        <f t="shared" si="37"/>
        <v>1</v>
      </c>
    </row>
    <row r="551" spans="1:7" x14ac:dyDescent="0.35">
      <c r="A551" s="25" t="s">
        <v>539</v>
      </c>
      <c r="B551" s="25" t="s">
        <v>2788</v>
      </c>
      <c r="C551" s="25" t="str">
        <f t="shared" si="35"/>
        <v>Huyện Sơn Tây - Quảng Ngãi</v>
      </c>
      <c r="D551" s="25" t="s">
        <v>3139</v>
      </c>
      <c r="E551" s="25" t="s">
        <v>3152</v>
      </c>
      <c r="F551" s="23">
        <f t="shared" si="36"/>
        <v>1</v>
      </c>
      <c r="G551" s="23">
        <f t="shared" si="37"/>
        <v>1</v>
      </c>
    </row>
    <row r="552" spans="1:7" x14ac:dyDescent="0.35">
      <c r="A552" s="25" t="s">
        <v>539</v>
      </c>
      <c r="B552" s="25" t="s">
        <v>2753</v>
      </c>
      <c r="C552" s="25" t="str">
        <f t="shared" si="35"/>
        <v>Huyện Sơn Tịnh - Quảng Ngãi</v>
      </c>
      <c r="D552" s="25" t="s">
        <v>3141</v>
      </c>
      <c r="E552" s="25" t="s">
        <v>3152</v>
      </c>
      <c r="F552" s="23">
        <f t="shared" si="36"/>
        <v>1</v>
      </c>
      <c r="G552" s="23">
        <f t="shared" si="37"/>
        <v>1</v>
      </c>
    </row>
    <row r="553" spans="1:7" x14ac:dyDescent="0.35">
      <c r="A553" s="25" t="s">
        <v>539</v>
      </c>
      <c r="B553" s="25" t="s">
        <v>2797</v>
      </c>
      <c r="C553" s="25" t="str">
        <f t="shared" si="35"/>
        <v>Huyện Tây Trà - Quảng Ngãi</v>
      </c>
      <c r="D553" s="25" t="s">
        <v>3139</v>
      </c>
      <c r="E553" s="25" t="s">
        <v>3152</v>
      </c>
      <c r="F553" s="23">
        <f t="shared" si="36"/>
        <v>1</v>
      </c>
      <c r="G553" s="23">
        <f t="shared" si="37"/>
        <v>1</v>
      </c>
    </row>
    <row r="554" spans="1:7" x14ac:dyDescent="0.35">
      <c r="A554" s="25" t="s">
        <v>539</v>
      </c>
      <c r="B554" s="25" t="s">
        <v>2782</v>
      </c>
      <c r="C554" s="25" t="str">
        <f t="shared" si="35"/>
        <v>Huyện Trà Bồng - Quảng Ngãi</v>
      </c>
      <c r="D554" s="25" t="s">
        <v>3139</v>
      </c>
      <c r="E554" s="25" t="s">
        <v>3152</v>
      </c>
      <c r="F554" s="23">
        <f t="shared" si="36"/>
        <v>1</v>
      </c>
      <c r="G554" s="23">
        <f t="shared" si="37"/>
        <v>1</v>
      </c>
    </row>
    <row r="555" spans="1:7" x14ac:dyDescent="0.35">
      <c r="A555" s="25" t="s">
        <v>539</v>
      </c>
      <c r="B555" s="25" t="s">
        <v>2755</v>
      </c>
      <c r="C555" s="25" t="str">
        <f t="shared" si="35"/>
        <v>Huyện Tư Nghĩa - Quảng Ngãi</v>
      </c>
      <c r="D555" s="25" t="s">
        <v>3141</v>
      </c>
      <c r="E555" s="25" t="s">
        <v>3152</v>
      </c>
      <c r="F555" s="23">
        <f t="shared" si="36"/>
        <v>1</v>
      </c>
      <c r="G555" s="23">
        <f t="shared" si="37"/>
        <v>1</v>
      </c>
    </row>
    <row r="556" spans="1:7" x14ac:dyDescent="0.35">
      <c r="A556" s="25" t="s">
        <v>539</v>
      </c>
      <c r="B556" s="25" t="s">
        <v>2747</v>
      </c>
      <c r="C556" s="25" t="str">
        <f t="shared" si="35"/>
        <v>Thành phố Quảng Ngãi - Quảng Ngãi</v>
      </c>
      <c r="D556" s="25" t="s">
        <v>3142</v>
      </c>
      <c r="E556" s="25" t="s">
        <v>3152</v>
      </c>
      <c r="F556" s="23">
        <f t="shared" si="36"/>
        <v>1</v>
      </c>
      <c r="G556" s="23">
        <f t="shared" si="37"/>
        <v>1</v>
      </c>
    </row>
    <row r="557" spans="1:7" x14ac:dyDescent="0.35">
      <c r="A557" s="25" t="s">
        <v>527</v>
      </c>
      <c r="B557" s="25" t="s">
        <v>3035</v>
      </c>
      <c r="C557" s="25" t="str">
        <f t="shared" si="35"/>
        <v>Huyện Ba Chẽ - Quảng Ninh</v>
      </c>
      <c r="D557" s="25" t="s">
        <v>3139</v>
      </c>
      <c r="E557" s="25" t="s">
        <v>3145</v>
      </c>
      <c r="F557" s="23">
        <f t="shared" si="36"/>
        <v>1</v>
      </c>
      <c r="G557" s="23">
        <f t="shared" si="37"/>
        <v>1</v>
      </c>
    </row>
    <row r="558" spans="1:7" x14ac:dyDescent="0.35">
      <c r="A558" s="25" t="s">
        <v>527</v>
      </c>
      <c r="B558" s="25" t="s">
        <v>3015</v>
      </c>
      <c r="C558" s="25" t="str">
        <f t="shared" si="35"/>
        <v>Huyện Bình Liêu - Quảng Ninh</v>
      </c>
      <c r="D558" s="25" t="s">
        <v>3139</v>
      </c>
      <c r="E558" s="25" t="s">
        <v>3145</v>
      </c>
      <c r="F558" s="23">
        <f t="shared" si="36"/>
        <v>1</v>
      </c>
      <c r="G558" s="23">
        <f t="shared" si="37"/>
        <v>1</v>
      </c>
    </row>
    <row r="559" spans="1:7" x14ac:dyDescent="0.35">
      <c r="A559" s="25" t="s">
        <v>527</v>
      </c>
      <c r="B559" s="26" t="s">
        <v>3075</v>
      </c>
      <c r="C559" s="25" t="str">
        <f t="shared" si="35"/>
        <v>Huyện đảo Cô Tô - Quảng Ninh</v>
      </c>
      <c r="D559" s="25" t="s">
        <v>3139</v>
      </c>
      <c r="E559" s="25" t="s">
        <v>3145</v>
      </c>
      <c r="F559" s="23">
        <f t="shared" si="36"/>
        <v>1</v>
      </c>
      <c r="G559" s="23">
        <f t="shared" si="37"/>
        <v>1</v>
      </c>
    </row>
    <row r="560" spans="1:7" x14ac:dyDescent="0.35">
      <c r="A560" s="25" t="s">
        <v>527</v>
      </c>
      <c r="B560" s="25" t="s">
        <v>3034</v>
      </c>
      <c r="C560" s="25" t="str">
        <f t="shared" si="35"/>
        <v>Huyện Đầm Hà - Quảng Ninh</v>
      </c>
      <c r="D560" s="25" t="s">
        <v>3139</v>
      </c>
      <c r="E560" s="25" t="s">
        <v>3145</v>
      </c>
      <c r="F560" s="23">
        <f t="shared" si="36"/>
        <v>1</v>
      </c>
      <c r="G560" s="23">
        <f t="shared" si="37"/>
        <v>1</v>
      </c>
    </row>
    <row r="561" spans="1:7" x14ac:dyDescent="0.35">
      <c r="A561" s="25" t="s">
        <v>527</v>
      </c>
      <c r="B561" s="25" t="s">
        <v>2990</v>
      </c>
      <c r="C561" s="25" t="str">
        <f t="shared" si="35"/>
        <v>Huyện Hải Hà - Quảng Ninh</v>
      </c>
      <c r="D561" s="25" t="s">
        <v>3139</v>
      </c>
      <c r="E561" s="25" t="s">
        <v>3145</v>
      </c>
      <c r="F561" s="23">
        <f t="shared" si="36"/>
        <v>1</v>
      </c>
      <c r="G561" s="23">
        <f t="shared" si="37"/>
        <v>1</v>
      </c>
    </row>
    <row r="562" spans="1:7" x14ac:dyDescent="0.35">
      <c r="A562" s="25" t="s">
        <v>527</v>
      </c>
      <c r="B562" s="25" t="s">
        <v>3039</v>
      </c>
      <c r="C562" s="25" t="str">
        <f t="shared" si="35"/>
        <v>Huyện Hoành Bồ - Quảng Ninh</v>
      </c>
      <c r="D562" s="25" t="s">
        <v>3139</v>
      </c>
      <c r="E562" s="25" t="s">
        <v>3145</v>
      </c>
      <c r="F562" s="23">
        <f t="shared" si="36"/>
        <v>1</v>
      </c>
      <c r="G562" s="23">
        <f t="shared" si="37"/>
        <v>1</v>
      </c>
    </row>
    <row r="563" spans="1:7" x14ac:dyDescent="0.35">
      <c r="A563" s="25" t="s">
        <v>527</v>
      </c>
      <c r="B563" s="25" t="s">
        <v>2957</v>
      </c>
      <c r="C563" s="25" t="str">
        <f t="shared" si="35"/>
        <v>Huyện Tiên Yên - Quảng Ninh</v>
      </c>
      <c r="D563" s="25" t="s">
        <v>3139</v>
      </c>
      <c r="E563" s="25" t="s">
        <v>3145</v>
      </c>
      <c r="F563" s="23">
        <f t="shared" si="36"/>
        <v>1</v>
      </c>
      <c r="G563" s="23">
        <f t="shared" si="37"/>
        <v>1</v>
      </c>
    </row>
    <row r="564" spans="1:7" x14ac:dyDescent="0.35">
      <c r="A564" s="25" t="s">
        <v>527</v>
      </c>
      <c r="B564" s="26" t="s">
        <v>2963</v>
      </c>
      <c r="C564" s="25" t="str">
        <f t="shared" si="35"/>
        <v>Huyện đảo Vân Đồn - Quảng Ninh</v>
      </c>
      <c r="D564" s="25" t="s">
        <v>3139</v>
      </c>
      <c r="E564" s="25" t="s">
        <v>3145</v>
      </c>
      <c r="F564" s="23">
        <f t="shared" si="36"/>
        <v>1</v>
      </c>
      <c r="G564" s="23">
        <f t="shared" si="37"/>
        <v>1</v>
      </c>
    </row>
    <row r="565" spans="1:7" x14ac:dyDescent="0.35">
      <c r="A565" s="25" t="s">
        <v>527</v>
      </c>
      <c r="B565" s="25" t="s">
        <v>2813</v>
      </c>
      <c r="C565" s="25" t="str">
        <f t="shared" si="35"/>
        <v>Thành phố Cẩm Phả - Quảng Ninh</v>
      </c>
      <c r="D565" s="25" t="s">
        <v>3142</v>
      </c>
      <c r="E565" s="25" t="s">
        <v>3145</v>
      </c>
      <c r="F565" s="23">
        <f t="shared" si="36"/>
        <v>1</v>
      </c>
      <c r="G565" s="23">
        <f t="shared" si="37"/>
        <v>1</v>
      </c>
    </row>
    <row r="566" spans="1:7" x14ac:dyDescent="0.35">
      <c r="A566" s="25" t="s">
        <v>527</v>
      </c>
      <c r="B566" s="25" t="s">
        <v>2817</v>
      </c>
      <c r="C566" s="25" t="str">
        <f t="shared" si="35"/>
        <v>Thành phố Hạ Long - Quảng Ninh</v>
      </c>
      <c r="D566" s="25" t="s">
        <v>3142</v>
      </c>
      <c r="E566" s="25" t="s">
        <v>3145</v>
      </c>
      <c r="F566" s="23">
        <f t="shared" si="36"/>
        <v>1</v>
      </c>
      <c r="G566" s="23">
        <f t="shared" si="37"/>
        <v>1</v>
      </c>
    </row>
    <row r="567" spans="1:7" x14ac:dyDescent="0.35">
      <c r="A567" s="25" t="s">
        <v>527</v>
      </c>
      <c r="B567" s="25" t="s">
        <v>2911</v>
      </c>
      <c r="C567" s="25" t="str">
        <f t="shared" si="35"/>
        <v>Thành phố Móng Cái - Quảng Ninh</v>
      </c>
      <c r="D567" s="25" t="s">
        <v>3141</v>
      </c>
      <c r="E567" s="25" t="s">
        <v>3145</v>
      </c>
      <c r="F567" s="23">
        <f t="shared" si="36"/>
        <v>1</v>
      </c>
      <c r="G567" s="23">
        <f t="shared" si="37"/>
        <v>1</v>
      </c>
    </row>
    <row r="568" spans="1:7" x14ac:dyDescent="0.35">
      <c r="A568" s="25" t="s">
        <v>527</v>
      </c>
      <c r="B568" s="25" t="s">
        <v>2943</v>
      </c>
      <c r="C568" s="25" t="str">
        <f t="shared" si="35"/>
        <v>Thành phố Uông Bí - Quảng Ninh</v>
      </c>
      <c r="D568" s="25" t="s">
        <v>3142</v>
      </c>
      <c r="E568" s="25" t="s">
        <v>3145</v>
      </c>
      <c r="F568" s="23">
        <f t="shared" si="36"/>
        <v>1</v>
      </c>
      <c r="G568" s="23">
        <f t="shared" si="37"/>
        <v>1</v>
      </c>
    </row>
    <row r="569" spans="1:7" x14ac:dyDescent="0.35">
      <c r="A569" s="25" t="s">
        <v>527</v>
      </c>
      <c r="B569" s="26" t="s">
        <v>3025</v>
      </c>
      <c r="C569" s="25" t="str">
        <f t="shared" si="35"/>
        <v>Huyện Đông Triều - Quảng Ninh</v>
      </c>
      <c r="D569" s="25" t="s">
        <v>3139</v>
      </c>
      <c r="E569" s="25" t="s">
        <v>3145</v>
      </c>
      <c r="F569" s="23">
        <f t="shared" si="36"/>
        <v>1</v>
      </c>
      <c r="G569" s="23">
        <f t="shared" si="37"/>
        <v>1</v>
      </c>
    </row>
    <row r="570" spans="1:7" x14ac:dyDescent="0.35">
      <c r="A570" s="25" t="s">
        <v>527</v>
      </c>
      <c r="B570" s="25" t="s">
        <v>2953</v>
      </c>
      <c r="C570" s="25" t="str">
        <f t="shared" si="35"/>
        <v>Thị xã Quảng Yên - Quảng Ninh</v>
      </c>
      <c r="D570" s="25" t="s">
        <v>3139</v>
      </c>
      <c r="E570" s="25" t="s">
        <v>3145</v>
      </c>
      <c r="F570" s="23">
        <f t="shared" si="36"/>
        <v>1</v>
      </c>
      <c r="G570" s="23">
        <f t="shared" si="37"/>
        <v>1</v>
      </c>
    </row>
    <row r="571" spans="1:7" x14ac:dyDescent="0.35">
      <c r="A571" s="25" t="s">
        <v>537</v>
      </c>
      <c r="B571" s="25" t="s">
        <v>2761</v>
      </c>
      <c r="C571" s="25" t="str">
        <f t="shared" si="35"/>
        <v>Huyện Cam Lộ - Quảng Trị</v>
      </c>
      <c r="D571" s="25" t="s">
        <v>3141</v>
      </c>
      <c r="E571" s="25" t="s">
        <v>3152</v>
      </c>
      <c r="F571" s="23">
        <f t="shared" si="36"/>
        <v>1</v>
      </c>
      <c r="G571" s="23">
        <f t="shared" si="37"/>
        <v>1</v>
      </c>
    </row>
    <row r="572" spans="1:7" x14ac:dyDescent="0.35">
      <c r="A572" s="25" t="s">
        <v>537</v>
      </c>
      <c r="B572" s="25" t="s">
        <v>3170</v>
      </c>
      <c r="C572" s="25" t="str">
        <f t="shared" si="35"/>
        <v>Huyện Cồn Cỏ - Quảng Trị</v>
      </c>
      <c r="D572" s="25" t="s">
        <v>3139</v>
      </c>
      <c r="E572" s="25" t="s">
        <v>3152</v>
      </c>
      <c r="F572" s="23">
        <f t="shared" si="36"/>
        <v>1</v>
      </c>
      <c r="G572" s="23">
        <f t="shared" si="37"/>
        <v>1</v>
      </c>
    </row>
    <row r="573" spans="1:7" x14ac:dyDescent="0.35">
      <c r="A573" s="25" t="s">
        <v>537</v>
      </c>
      <c r="B573" s="25" t="s">
        <v>2796</v>
      </c>
      <c r="C573" s="25" t="str">
        <f t="shared" si="35"/>
        <v>Huyện Đa Krông - Quảng Trị</v>
      </c>
      <c r="D573" s="25" t="s">
        <v>3139</v>
      </c>
      <c r="E573" s="25" t="s">
        <v>3152</v>
      </c>
      <c r="F573" s="23">
        <f t="shared" si="36"/>
        <v>1</v>
      </c>
      <c r="G573" s="23">
        <f t="shared" si="37"/>
        <v>1</v>
      </c>
    </row>
    <row r="574" spans="1:7" x14ac:dyDescent="0.35">
      <c r="A574" s="25" t="s">
        <v>537</v>
      </c>
      <c r="B574" s="25" t="s">
        <v>2760</v>
      </c>
      <c r="C574" s="25" t="str">
        <f t="shared" si="35"/>
        <v>Huyện Gio Linh - Quảng Trị</v>
      </c>
      <c r="D574" s="25" t="s">
        <v>3141</v>
      </c>
      <c r="E574" s="25" t="s">
        <v>3152</v>
      </c>
      <c r="F574" s="23">
        <f t="shared" si="36"/>
        <v>1</v>
      </c>
      <c r="G574" s="23">
        <f t="shared" si="37"/>
        <v>1</v>
      </c>
    </row>
    <row r="575" spans="1:7" x14ac:dyDescent="0.35">
      <c r="A575" s="25" t="s">
        <v>537</v>
      </c>
      <c r="B575" s="25" t="s">
        <v>2767</v>
      </c>
      <c r="C575" s="25" t="str">
        <f t="shared" si="35"/>
        <v>Huyện Hải Lăng - Quảng Trị</v>
      </c>
      <c r="D575" s="25" t="s">
        <v>3139</v>
      </c>
      <c r="E575" s="25" t="s">
        <v>3152</v>
      </c>
      <c r="F575" s="23">
        <f t="shared" si="36"/>
        <v>1</v>
      </c>
      <c r="G575" s="23">
        <f t="shared" si="37"/>
        <v>1</v>
      </c>
    </row>
    <row r="576" spans="1:7" x14ac:dyDescent="0.35">
      <c r="A576" s="25" t="s">
        <v>537</v>
      </c>
      <c r="B576" s="25" t="s">
        <v>2773</v>
      </c>
      <c r="C576" s="25" t="str">
        <f t="shared" si="35"/>
        <v>Huyện Hướng Hóa - Quảng Trị</v>
      </c>
      <c r="D576" s="25" t="s">
        <v>3139</v>
      </c>
      <c r="E576" s="25" t="s">
        <v>3152</v>
      </c>
      <c r="F576" s="23">
        <f t="shared" si="36"/>
        <v>1</v>
      </c>
      <c r="G576" s="23">
        <f t="shared" si="37"/>
        <v>1</v>
      </c>
    </row>
    <row r="577" spans="1:7" x14ac:dyDescent="0.35">
      <c r="A577" s="25" t="s">
        <v>537</v>
      </c>
      <c r="B577" s="25" t="s">
        <v>2758</v>
      </c>
      <c r="C577" s="25" t="str">
        <f t="shared" si="35"/>
        <v>Huyện Triệu Phong - Quảng Trị</v>
      </c>
      <c r="D577" s="25" t="s">
        <v>3141</v>
      </c>
      <c r="E577" s="25" t="s">
        <v>3152</v>
      </c>
      <c r="F577" s="23">
        <f t="shared" si="36"/>
        <v>1</v>
      </c>
      <c r="G577" s="23">
        <f t="shared" si="37"/>
        <v>1</v>
      </c>
    </row>
    <row r="578" spans="1:7" x14ac:dyDescent="0.35">
      <c r="A578" s="25" t="s">
        <v>537</v>
      </c>
      <c r="B578" s="25" t="s">
        <v>2770</v>
      </c>
      <c r="C578" s="25" t="str">
        <f t="shared" si="35"/>
        <v>Huyện Vĩnh Linh - Quảng Trị</v>
      </c>
      <c r="D578" s="25" t="s">
        <v>3139</v>
      </c>
      <c r="E578" s="25" t="s">
        <v>3152</v>
      </c>
      <c r="F578" s="23">
        <f t="shared" si="36"/>
        <v>1</v>
      </c>
      <c r="G578" s="23">
        <f t="shared" si="37"/>
        <v>1</v>
      </c>
    </row>
    <row r="579" spans="1:7" x14ac:dyDescent="0.35">
      <c r="A579" s="25" t="s">
        <v>537</v>
      </c>
      <c r="B579" s="25" t="s">
        <v>2743</v>
      </c>
      <c r="C579" s="25" t="str">
        <f t="shared" si="35"/>
        <v>Thành phố Đông Hà - Quảng Trị</v>
      </c>
      <c r="D579" s="25" t="s">
        <v>3142</v>
      </c>
      <c r="E579" s="25" t="s">
        <v>3152</v>
      </c>
      <c r="F579" s="23">
        <f t="shared" si="36"/>
        <v>1</v>
      </c>
      <c r="G579" s="23">
        <f t="shared" si="37"/>
        <v>1</v>
      </c>
    </row>
    <row r="580" spans="1:7" x14ac:dyDescent="0.35">
      <c r="A580" s="25" t="s">
        <v>537</v>
      </c>
      <c r="B580" s="25" t="s">
        <v>2749</v>
      </c>
      <c r="C580" s="25" t="str">
        <f t="shared" si="35"/>
        <v>Thị xã Quảng Trị - Quảng Trị</v>
      </c>
      <c r="D580" s="25" t="s">
        <v>3139</v>
      </c>
      <c r="E580" s="25" t="s">
        <v>3152</v>
      </c>
      <c r="F580" s="23">
        <f t="shared" si="36"/>
        <v>1</v>
      </c>
      <c r="G580" s="23">
        <f t="shared" si="37"/>
        <v>1</v>
      </c>
    </row>
    <row r="581" spans="1:7" x14ac:dyDescent="0.35">
      <c r="A581" s="25" t="s">
        <v>561</v>
      </c>
      <c r="B581" s="25" t="s">
        <v>2523</v>
      </c>
      <c r="C581" s="25" t="str">
        <f t="shared" si="35"/>
        <v>Huyện Châu Thành - Sóc Trăng</v>
      </c>
      <c r="D581" s="25" t="s">
        <v>3141</v>
      </c>
      <c r="E581" s="25" t="s">
        <v>3140</v>
      </c>
      <c r="F581" s="23">
        <f t="shared" si="36"/>
        <v>10</v>
      </c>
      <c r="G581" s="23">
        <f t="shared" si="37"/>
        <v>1</v>
      </c>
    </row>
    <row r="582" spans="1:7" x14ac:dyDescent="0.35">
      <c r="A582" s="25" t="s">
        <v>561</v>
      </c>
      <c r="B582" s="25" t="s">
        <v>2740</v>
      </c>
      <c r="C582" s="25" t="str">
        <f t="shared" si="35"/>
        <v>Huyện Cù Lao Dung - Sóc Trăng</v>
      </c>
      <c r="D582" s="25" t="s">
        <v>3139</v>
      </c>
      <c r="E582" s="25" t="s">
        <v>3140</v>
      </c>
      <c r="F582" s="23">
        <f t="shared" si="36"/>
        <v>1</v>
      </c>
      <c r="G582" s="23">
        <f t="shared" si="37"/>
        <v>1</v>
      </c>
    </row>
    <row r="583" spans="1:7" x14ac:dyDescent="0.35">
      <c r="A583" s="25" t="s">
        <v>561</v>
      </c>
      <c r="B583" s="25" t="s">
        <v>2644</v>
      </c>
      <c r="C583" s="25" t="str">
        <f t="shared" ref="C583:C646" si="38">B583&amp;" - "&amp;A583</f>
        <v>Huyện Kế Sách - Sóc Trăng</v>
      </c>
      <c r="D583" s="25" t="s">
        <v>3139</v>
      </c>
      <c r="E583" s="25" t="s">
        <v>3140</v>
      </c>
      <c r="F583" s="23">
        <f t="shared" si="36"/>
        <v>1</v>
      </c>
      <c r="G583" s="23">
        <f t="shared" si="37"/>
        <v>1</v>
      </c>
    </row>
    <row r="584" spans="1:7" x14ac:dyDescent="0.35">
      <c r="A584" s="25" t="s">
        <v>561</v>
      </c>
      <c r="B584" s="25" t="s">
        <v>2721</v>
      </c>
      <c r="C584" s="25" t="str">
        <f t="shared" si="38"/>
        <v>Huyện Long Phú - Sóc Trăng</v>
      </c>
      <c r="D584" s="25" t="s">
        <v>3139</v>
      </c>
      <c r="E584" s="25" t="s">
        <v>3140</v>
      </c>
      <c r="F584" s="23">
        <f t="shared" si="36"/>
        <v>1</v>
      </c>
      <c r="G584" s="23">
        <f t="shared" si="37"/>
        <v>1</v>
      </c>
    </row>
    <row r="585" spans="1:7" x14ac:dyDescent="0.35">
      <c r="A585" s="25" t="s">
        <v>561</v>
      </c>
      <c r="B585" s="25" t="s">
        <v>2716</v>
      </c>
      <c r="C585" s="25" t="str">
        <f t="shared" si="38"/>
        <v>Huyện Mỹ Tú - Sóc Trăng</v>
      </c>
      <c r="D585" s="25" t="s">
        <v>3139</v>
      </c>
      <c r="E585" s="25" t="s">
        <v>3140</v>
      </c>
      <c r="F585" s="23">
        <f t="shared" si="36"/>
        <v>1</v>
      </c>
      <c r="G585" s="23">
        <f t="shared" si="37"/>
        <v>1</v>
      </c>
    </row>
    <row r="586" spans="1:7" x14ac:dyDescent="0.35">
      <c r="A586" s="25" t="s">
        <v>561</v>
      </c>
      <c r="B586" s="25" t="s">
        <v>2533</v>
      </c>
      <c r="C586" s="25" t="str">
        <f t="shared" si="38"/>
        <v>Huyện Mỹ Xuyên - Sóc Trăng</v>
      </c>
      <c r="D586" s="25" t="s">
        <v>3141</v>
      </c>
      <c r="E586" s="25" t="s">
        <v>3140</v>
      </c>
      <c r="F586" s="23">
        <f t="shared" ref="F586:F649" si="39">COUNTIF($B:$B,B586)</f>
        <v>1</v>
      </c>
      <c r="G586" s="23">
        <f t="shared" ref="G586:G649" si="40">COUNTIF($C:$C,C586)</f>
        <v>1</v>
      </c>
    </row>
    <row r="587" spans="1:7" x14ac:dyDescent="0.35">
      <c r="A587" s="25" t="s">
        <v>561</v>
      </c>
      <c r="B587" s="25" t="s">
        <v>2714</v>
      </c>
      <c r="C587" s="25" t="str">
        <f t="shared" si="38"/>
        <v>Huyện Thạnh Trị - Sóc Trăng</v>
      </c>
      <c r="D587" s="25" t="s">
        <v>3139</v>
      </c>
      <c r="E587" s="25" t="s">
        <v>3140</v>
      </c>
      <c r="F587" s="23">
        <f t="shared" si="39"/>
        <v>1</v>
      </c>
      <c r="G587" s="23">
        <f t="shared" si="40"/>
        <v>1</v>
      </c>
    </row>
    <row r="588" spans="1:7" x14ac:dyDescent="0.35">
      <c r="A588" s="25" t="s">
        <v>561</v>
      </c>
      <c r="B588" s="25" t="s">
        <v>2541</v>
      </c>
      <c r="C588" s="25" t="str">
        <f t="shared" si="38"/>
        <v>Huyện Trần Đề - Sóc Trăng</v>
      </c>
      <c r="D588" s="25" t="s">
        <v>3141</v>
      </c>
      <c r="E588" s="25" t="s">
        <v>3140</v>
      </c>
      <c r="F588" s="23">
        <f t="shared" si="39"/>
        <v>1</v>
      </c>
      <c r="G588" s="23">
        <f t="shared" si="40"/>
        <v>1</v>
      </c>
    </row>
    <row r="589" spans="1:7" x14ac:dyDescent="0.35">
      <c r="A589" s="25" t="s">
        <v>561</v>
      </c>
      <c r="B589" s="25" t="s">
        <v>2512</v>
      </c>
      <c r="C589" s="25" t="str">
        <f t="shared" si="38"/>
        <v>Thành phố Sóc Trăng - Sóc Trăng</v>
      </c>
      <c r="D589" s="25" t="s">
        <v>3142</v>
      </c>
      <c r="E589" s="25" t="s">
        <v>3140</v>
      </c>
      <c r="F589" s="23">
        <f t="shared" si="39"/>
        <v>1</v>
      </c>
      <c r="G589" s="23">
        <f t="shared" si="40"/>
        <v>1</v>
      </c>
    </row>
    <row r="590" spans="1:7" x14ac:dyDescent="0.35">
      <c r="A590" s="25" t="s">
        <v>561</v>
      </c>
      <c r="B590" s="25" t="s">
        <v>2634</v>
      </c>
      <c r="C590" s="25" t="str">
        <f t="shared" si="38"/>
        <v>Thị xã Ngã Năm - Sóc Trăng</v>
      </c>
      <c r="D590" s="25" t="s">
        <v>3139</v>
      </c>
      <c r="E590" s="25" t="s">
        <v>3140</v>
      </c>
      <c r="F590" s="23">
        <f t="shared" si="39"/>
        <v>1</v>
      </c>
      <c r="G590" s="23">
        <f t="shared" si="40"/>
        <v>1</v>
      </c>
    </row>
    <row r="591" spans="1:7" x14ac:dyDescent="0.35">
      <c r="A591" s="25" t="s">
        <v>561</v>
      </c>
      <c r="B591" s="25" t="s">
        <v>2710</v>
      </c>
      <c r="C591" s="25" t="str">
        <f t="shared" si="38"/>
        <v>Thị xã Vĩnh Châu - Sóc Trăng</v>
      </c>
      <c r="D591" s="25" t="s">
        <v>3139</v>
      </c>
      <c r="E591" s="25" t="s">
        <v>3140</v>
      </c>
      <c r="F591" s="23">
        <f t="shared" si="39"/>
        <v>1</v>
      </c>
      <c r="G591" s="23">
        <f t="shared" si="40"/>
        <v>1</v>
      </c>
    </row>
    <row r="592" spans="1:7" x14ac:dyDescent="0.35">
      <c r="A592" s="25" t="s">
        <v>528</v>
      </c>
      <c r="B592" s="25" t="s">
        <v>3076</v>
      </c>
      <c r="C592" s="25" t="str">
        <f t="shared" si="38"/>
        <v>Huyện Bắc Yên - Sơn La</v>
      </c>
      <c r="D592" s="25" t="s">
        <v>3139</v>
      </c>
      <c r="E592" s="25" t="s">
        <v>3145</v>
      </c>
      <c r="F592" s="23">
        <f t="shared" si="39"/>
        <v>1</v>
      </c>
      <c r="G592" s="23">
        <f t="shared" si="40"/>
        <v>1</v>
      </c>
    </row>
    <row r="593" spans="1:7" x14ac:dyDescent="0.35">
      <c r="A593" s="25" t="s">
        <v>528</v>
      </c>
      <c r="B593" s="25" t="s">
        <v>3013</v>
      </c>
      <c r="C593" s="25" t="str">
        <f t="shared" si="38"/>
        <v>Huyện Mai Sơn - Sơn La</v>
      </c>
      <c r="D593" s="25" t="s">
        <v>3139</v>
      </c>
      <c r="E593" s="25" t="s">
        <v>3145</v>
      </c>
      <c r="F593" s="23">
        <f t="shared" si="39"/>
        <v>1</v>
      </c>
      <c r="G593" s="23">
        <f t="shared" si="40"/>
        <v>1</v>
      </c>
    </row>
    <row r="594" spans="1:7" x14ac:dyDescent="0.35">
      <c r="A594" s="25" t="s">
        <v>528</v>
      </c>
      <c r="B594" s="25" t="s">
        <v>2994</v>
      </c>
      <c r="C594" s="25" t="str">
        <f t="shared" si="38"/>
        <v>Huyện Mộc Châu - Sơn La</v>
      </c>
      <c r="D594" s="25" t="s">
        <v>3139</v>
      </c>
      <c r="E594" s="25" t="s">
        <v>3145</v>
      </c>
      <c r="F594" s="23">
        <f t="shared" si="39"/>
        <v>1</v>
      </c>
      <c r="G594" s="23">
        <f t="shared" si="40"/>
        <v>1</v>
      </c>
    </row>
    <row r="595" spans="1:7" x14ac:dyDescent="0.35">
      <c r="A595" s="25" t="s">
        <v>528</v>
      </c>
      <c r="B595" s="25" t="s">
        <v>3028</v>
      </c>
      <c r="C595" s="25" t="str">
        <f t="shared" si="38"/>
        <v>Huyện Mường La - Sơn La</v>
      </c>
      <c r="D595" s="25" t="s">
        <v>3139</v>
      </c>
      <c r="E595" s="25" t="s">
        <v>3145</v>
      </c>
      <c r="F595" s="23">
        <f t="shared" si="39"/>
        <v>1</v>
      </c>
      <c r="G595" s="23">
        <f t="shared" si="40"/>
        <v>1</v>
      </c>
    </row>
    <row r="596" spans="1:7" x14ac:dyDescent="0.35">
      <c r="A596" s="25" t="s">
        <v>528</v>
      </c>
      <c r="B596" s="25" t="s">
        <v>2975</v>
      </c>
      <c r="C596" s="25" t="str">
        <f t="shared" si="38"/>
        <v>Huyện Phù Yên - Sơn La</v>
      </c>
      <c r="D596" s="25" t="s">
        <v>3139</v>
      </c>
      <c r="E596" s="25" t="s">
        <v>3145</v>
      </c>
      <c r="F596" s="23">
        <f t="shared" si="39"/>
        <v>1</v>
      </c>
      <c r="G596" s="23">
        <f t="shared" si="40"/>
        <v>1</v>
      </c>
    </row>
    <row r="597" spans="1:7" x14ac:dyDescent="0.35">
      <c r="A597" s="25" t="s">
        <v>528</v>
      </c>
      <c r="B597" s="25" t="s">
        <v>3081</v>
      </c>
      <c r="C597" s="25" t="str">
        <f t="shared" si="38"/>
        <v>Huyện Quỳnh Nhai - Sơn La</v>
      </c>
      <c r="D597" s="25" t="s">
        <v>3139</v>
      </c>
      <c r="E597" s="25" t="s">
        <v>3145</v>
      </c>
      <c r="F597" s="23">
        <f t="shared" si="39"/>
        <v>1</v>
      </c>
      <c r="G597" s="23">
        <f t="shared" si="40"/>
        <v>1</v>
      </c>
    </row>
    <row r="598" spans="1:7" x14ac:dyDescent="0.35">
      <c r="A598" s="25" t="s">
        <v>528</v>
      </c>
      <c r="B598" s="25" t="s">
        <v>3017</v>
      </c>
      <c r="C598" s="25" t="str">
        <f t="shared" si="38"/>
        <v>Huyện Sông Mã - Sơn La</v>
      </c>
      <c r="D598" s="25" t="s">
        <v>3139</v>
      </c>
      <c r="E598" s="25" t="s">
        <v>3145</v>
      </c>
      <c r="F598" s="23">
        <f t="shared" si="39"/>
        <v>1</v>
      </c>
      <c r="G598" s="23">
        <f t="shared" si="40"/>
        <v>1</v>
      </c>
    </row>
    <row r="599" spans="1:7" x14ac:dyDescent="0.35">
      <c r="A599" s="25" t="s">
        <v>528</v>
      </c>
      <c r="B599" s="25" t="s">
        <v>3171</v>
      </c>
      <c r="C599" s="25" t="str">
        <f t="shared" si="38"/>
        <v>Huyện Sốp Cộp - Sơn La</v>
      </c>
      <c r="D599" s="25" t="s">
        <v>3139</v>
      </c>
      <c r="E599" s="25" t="s">
        <v>3145</v>
      </c>
      <c r="F599" s="23">
        <f t="shared" si="39"/>
        <v>1</v>
      </c>
      <c r="G599" s="23">
        <f t="shared" si="40"/>
        <v>1</v>
      </c>
    </row>
    <row r="600" spans="1:7" x14ac:dyDescent="0.35">
      <c r="A600" s="25" t="s">
        <v>528</v>
      </c>
      <c r="B600" s="25" t="s">
        <v>2954</v>
      </c>
      <c r="C600" s="25" t="str">
        <f t="shared" si="38"/>
        <v>Huyện Thuận Châu - Sơn La</v>
      </c>
      <c r="D600" s="25" t="s">
        <v>3139</v>
      </c>
      <c r="E600" s="25" t="s">
        <v>3145</v>
      </c>
      <c r="F600" s="23">
        <f t="shared" si="39"/>
        <v>1</v>
      </c>
      <c r="G600" s="23">
        <f t="shared" si="40"/>
        <v>1</v>
      </c>
    </row>
    <row r="601" spans="1:7" x14ac:dyDescent="0.35">
      <c r="A601" s="25" t="s">
        <v>528</v>
      </c>
      <c r="B601" s="25" t="s">
        <v>3079</v>
      </c>
      <c r="C601" s="25" t="str">
        <f t="shared" si="38"/>
        <v>Huyện Vân Hồ - Sơn La</v>
      </c>
      <c r="D601" s="25" t="s">
        <v>3139</v>
      </c>
      <c r="E601" s="25" t="s">
        <v>3145</v>
      </c>
      <c r="F601" s="23">
        <f t="shared" si="39"/>
        <v>1</v>
      </c>
      <c r="G601" s="23">
        <f t="shared" si="40"/>
        <v>1</v>
      </c>
    </row>
    <row r="602" spans="1:7" x14ac:dyDescent="0.35">
      <c r="A602" s="25" t="s">
        <v>528</v>
      </c>
      <c r="B602" s="25" t="s">
        <v>3078</v>
      </c>
      <c r="C602" s="25" t="str">
        <f t="shared" si="38"/>
        <v>Huyện Yên Châu - Sơn La</v>
      </c>
      <c r="D602" s="25" t="s">
        <v>3139</v>
      </c>
      <c r="E602" s="25" t="s">
        <v>3145</v>
      </c>
      <c r="F602" s="23">
        <f t="shared" si="39"/>
        <v>1</v>
      </c>
      <c r="G602" s="23">
        <f t="shared" si="40"/>
        <v>1</v>
      </c>
    </row>
    <row r="603" spans="1:7" x14ac:dyDescent="0.35">
      <c r="A603" s="25" t="s">
        <v>528</v>
      </c>
      <c r="B603" s="25" t="s">
        <v>2827</v>
      </c>
      <c r="C603" s="25" t="str">
        <f t="shared" si="38"/>
        <v>Thành phố Sơn La - Sơn La</v>
      </c>
      <c r="D603" s="25" t="s">
        <v>3142</v>
      </c>
      <c r="E603" s="25" t="s">
        <v>3145</v>
      </c>
      <c r="F603" s="23">
        <f t="shared" si="39"/>
        <v>1</v>
      </c>
      <c r="G603" s="23">
        <f t="shared" si="40"/>
        <v>1</v>
      </c>
    </row>
    <row r="604" spans="1:7" x14ac:dyDescent="0.35">
      <c r="A604" s="25" t="s">
        <v>503</v>
      </c>
      <c r="B604" s="25" t="s">
        <v>2572</v>
      </c>
      <c r="C604" s="25" t="str">
        <f t="shared" si="38"/>
        <v>Huyện Bến Cầu - Tây Ninh</v>
      </c>
      <c r="D604" s="25" t="s">
        <v>3139</v>
      </c>
      <c r="E604" s="25" t="s">
        <v>3140</v>
      </c>
      <c r="F604" s="23">
        <f t="shared" si="39"/>
        <v>1</v>
      </c>
      <c r="G604" s="23">
        <f t="shared" si="40"/>
        <v>1</v>
      </c>
    </row>
    <row r="605" spans="1:7" x14ac:dyDescent="0.35">
      <c r="A605" s="25" t="s">
        <v>503</v>
      </c>
      <c r="B605" s="25" t="s">
        <v>2523</v>
      </c>
      <c r="C605" s="25" t="str">
        <f t="shared" si="38"/>
        <v>Huyện Châu Thành - Tây Ninh</v>
      </c>
      <c r="D605" s="25" t="s">
        <v>3141</v>
      </c>
      <c r="E605" s="25" t="s">
        <v>3140</v>
      </c>
      <c r="F605" s="23">
        <f t="shared" si="39"/>
        <v>10</v>
      </c>
      <c r="G605" s="23">
        <f t="shared" si="40"/>
        <v>1</v>
      </c>
    </row>
    <row r="606" spans="1:7" x14ac:dyDescent="0.35">
      <c r="A606" s="25" t="s">
        <v>503</v>
      </c>
      <c r="B606" s="25" t="s">
        <v>2528</v>
      </c>
      <c r="C606" s="25" t="str">
        <f t="shared" si="38"/>
        <v>Huyện Dương Minh Châu - Tây Ninh</v>
      </c>
      <c r="D606" s="25" t="s">
        <v>3141</v>
      </c>
      <c r="E606" s="25" t="s">
        <v>3140</v>
      </c>
      <c r="F606" s="23">
        <f t="shared" si="39"/>
        <v>1</v>
      </c>
      <c r="G606" s="23">
        <f t="shared" si="40"/>
        <v>1</v>
      </c>
    </row>
    <row r="607" spans="1:7" x14ac:dyDescent="0.35">
      <c r="A607" s="25" t="s">
        <v>503</v>
      </c>
      <c r="B607" s="25" t="s">
        <v>2589</v>
      </c>
      <c r="C607" s="25" t="str">
        <f t="shared" si="38"/>
        <v>Huyện Gò Dầu - Tây Ninh</v>
      </c>
      <c r="D607" s="25" t="s">
        <v>3139</v>
      </c>
      <c r="E607" s="25" t="s">
        <v>3140</v>
      </c>
      <c r="F607" s="23">
        <f t="shared" si="39"/>
        <v>1</v>
      </c>
      <c r="G607" s="23">
        <f t="shared" si="40"/>
        <v>1</v>
      </c>
    </row>
    <row r="608" spans="1:7" x14ac:dyDescent="0.35">
      <c r="A608" s="25" t="s">
        <v>503</v>
      </c>
      <c r="B608" s="25" t="s">
        <v>2531</v>
      </c>
      <c r="C608" s="25" t="str">
        <f t="shared" si="38"/>
        <v>Huyện Hòa Thành - Tây Ninh</v>
      </c>
      <c r="D608" s="25" t="s">
        <v>3141</v>
      </c>
      <c r="E608" s="25" t="s">
        <v>3140</v>
      </c>
      <c r="F608" s="23">
        <f t="shared" si="39"/>
        <v>1</v>
      </c>
      <c r="G608" s="23">
        <f t="shared" si="40"/>
        <v>1</v>
      </c>
    </row>
    <row r="609" spans="1:7" x14ac:dyDescent="0.35">
      <c r="A609" s="25" t="s">
        <v>503</v>
      </c>
      <c r="B609" s="25" t="s">
        <v>2601</v>
      </c>
      <c r="C609" s="25" t="str">
        <f t="shared" si="38"/>
        <v>Huyện Tân Biên - Tây Ninh</v>
      </c>
      <c r="D609" s="25" t="s">
        <v>3139</v>
      </c>
      <c r="E609" s="25" t="s">
        <v>3140</v>
      </c>
      <c r="F609" s="23">
        <f t="shared" si="39"/>
        <v>1</v>
      </c>
      <c r="G609" s="23">
        <f t="shared" si="40"/>
        <v>1</v>
      </c>
    </row>
    <row r="610" spans="1:7" x14ac:dyDescent="0.35">
      <c r="A610" s="25" t="s">
        <v>503</v>
      </c>
      <c r="B610" s="25" t="s">
        <v>2602</v>
      </c>
      <c r="C610" s="25" t="str">
        <f t="shared" si="38"/>
        <v>Huyện Tân Châu - Tây Ninh</v>
      </c>
      <c r="D610" s="25" t="s">
        <v>3139</v>
      </c>
      <c r="E610" s="25" t="s">
        <v>3140</v>
      </c>
      <c r="F610" s="23">
        <f t="shared" si="39"/>
        <v>2</v>
      </c>
      <c r="G610" s="23">
        <f t="shared" si="40"/>
        <v>1</v>
      </c>
    </row>
    <row r="611" spans="1:7" x14ac:dyDescent="0.35">
      <c r="A611" s="25" t="s">
        <v>503</v>
      </c>
      <c r="B611" s="25" t="s">
        <v>2628</v>
      </c>
      <c r="C611" s="25" t="str">
        <f t="shared" si="38"/>
        <v>Huyện Trảng Bàng - Tây Ninh</v>
      </c>
      <c r="D611" s="25" t="s">
        <v>3139</v>
      </c>
      <c r="E611" s="25" t="s">
        <v>3140</v>
      </c>
      <c r="F611" s="23">
        <f t="shared" si="39"/>
        <v>1</v>
      </c>
      <c r="G611" s="23">
        <f t="shared" si="40"/>
        <v>1</v>
      </c>
    </row>
    <row r="612" spans="1:7" x14ac:dyDescent="0.35">
      <c r="A612" s="25" t="s">
        <v>503</v>
      </c>
      <c r="B612" s="25" t="s">
        <v>2514</v>
      </c>
      <c r="C612" s="25" t="str">
        <f t="shared" si="38"/>
        <v>Thành phố Tây Ninh - Tây Ninh</v>
      </c>
      <c r="D612" s="25" t="s">
        <v>3142</v>
      </c>
      <c r="E612" s="25" t="s">
        <v>3140</v>
      </c>
      <c r="F612" s="23">
        <f t="shared" si="39"/>
        <v>1</v>
      </c>
      <c r="G612" s="23">
        <f t="shared" si="40"/>
        <v>1</v>
      </c>
    </row>
    <row r="613" spans="1:7" x14ac:dyDescent="0.35">
      <c r="A613" s="25" t="s">
        <v>530</v>
      </c>
      <c r="B613" s="25" t="s">
        <v>2840</v>
      </c>
      <c r="C613" s="25" t="str">
        <f t="shared" si="38"/>
        <v>Huyện Đông Hưng - Thái Bình</v>
      </c>
      <c r="D613" s="25" t="s">
        <v>3141</v>
      </c>
      <c r="E613" s="25" t="s">
        <v>3145</v>
      </c>
      <c r="F613" s="23">
        <f t="shared" si="39"/>
        <v>1</v>
      </c>
      <c r="G613" s="23">
        <f t="shared" si="40"/>
        <v>1</v>
      </c>
    </row>
    <row r="614" spans="1:7" x14ac:dyDescent="0.35">
      <c r="A614" s="25" t="s">
        <v>530</v>
      </c>
      <c r="B614" s="25" t="s">
        <v>2919</v>
      </c>
      <c r="C614" s="25" t="str">
        <f t="shared" si="38"/>
        <v>Huyện Hưng Hà - Thái Bình</v>
      </c>
      <c r="D614" s="25" t="s">
        <v>3139</v>
      </c>
      <c r="E614" s="25" t="s">
        <v>3145</v>
      </c>
      <c r="F614" s="23">
        <f t="shared" si="39"/>
        <v>1</v>
      </c>
      <c r="G614" s="23">
        <f t="shared" si="40"/>
        <v>1</v>
      </c>
    </row>
    <row r="615" spans="1:7" x14ac:dyDescent="0.35">
      <c r="A615" s="25" t="s">
        <v>530</v>
      </c>
      <c r="B615" s="25" t="s">
        <v>2878</v>
      </c>
      <c r="C615" s="25" t="str">
        <f t="shared" si="38"/>
        <v>Huyện Kiến Xương - Thái Bình</v>
      </c>
      <c r="D615" s="25" t="s">
        <v>3141</v>
      </c>
      <c r="E615" s="25" t="s">
        <v>3145</v>
      </c>
      <c r="F615" s="23">
        <f t="shared" si="39"/>
        <v>1</v>
      </c>
      <c r="G615" s="23">
        <f t="shared" si="40"/>
        <v>1</v>
      </c>
    </row>
    <row r="616" spans="1:7" x14ac:dyDescent="0.35">
      <c r="A616" s="25" t="s">
        <v>530</v>
      </c>
      <c r="B616" s="25" t="s">
        <v>2929</v>
      </c>
      <c r="C616" s="25" t="str">
        <f t="shared" si="38"/>
        <v>Huyện Quỳnh Phụ - Thái Bình</v>
      </c>
      <c r="D616" s="25" t="s">
        <v>3139</v>
      </c>
      <c r="E616" s="25" t="s">
        <v>3145</v>
      </c>
      <c r="F616" s="23">
        <f t="shared" si="39"/>
        <v>1</v>
      </c>
      <c r="G616" s="23">
        <f t="shared" si="40"/>
        <v>1</v>
      </c>
    </row>
    <row r="617" spans="1:7" x14ac:dyDescent="0.35">
      <c r="A617" s="25" t="s">
        <v>530</v>
      </c>
      <c r="B617" s="25" t="s">
        <v>2867</v>
      </c>
      <c r="C617" s="25" t="str">
        <f t="shared" si="38"/>
        <v>Huyện Thái Thụy - Thái Bình</v>
      </c>
      <c r="D617" s="25" t="s">
        <v>3141</v>
      </c>
      <c r="E617" s="25" t="s">
        <v>3145</v>
      </c>
      <c r="F617" s="23">
        <f t="shared" si="39"/>
        <v>1</v>
      </c>
      <c r="G617" s="23">
        <f t="shared" si="40"/>
        <v>1</v>
      </c>
    </row>
    <row r="618" spans="1:7" x14ac:dyDescent="0.35">
      <c r="A618" s="25" t="s">
        <v>530</v>
      </c>
      <c r="B618" s="25" t="s">
        <v>2904</v>
      </c>
      <c r="C618" s="25" t="str">
        <f t="shared" si="38"/>
        <v>Huyện Tiền Hải - Thái Bình</v>
      </c>
      <c r="D618" s="25" t="s">
        <v>3141</v>
      </c>
      <c r="E618" s="25" t="s">
        <v>3145</v>
      </c>
      <c r="F618" s="23">
        <f t="shared" si="39"/>
        <v>1</v>
      </c>
      <c r="G618" s="23">
        <f t="shared" si="40"/>
        <v>1</v>
      </c>
    </row>
    <row r="619" spans="1:7" x14ac:dyDescent="0.35">
      <c r="A619" s="25" t="s">
        <v>530</v>
      </c>
      <c r="B619" s="25" t="s">
        <v>2853</v>
      </c>
      <c r="C619" s="25" t="str">
        <f t="shared" si="38"/>
        <v>Huyện Vũ Thư - Thái Bình</v>
      </c>
      <c r="D619" s="25" t="s">
        <v>3141</v>
      </c>
      <c r="E619" s="25" t="s">
        <v>3145</v>
      </c>
      <c r="F619" s="23">
        <f t="shared" si="39"/>
        <v>1</v>
      </c>
      <c r="G619" s="23">
        <f t="shared" si="40"/>
        <v>1</v>
      </c>
    </row>
    <row r="620" spans="1:7" x14ac:dyDescent="0.35">
      <c r="A620" s="25" t="s">
        <v>530</v>
      </c>
      <c r="B620" s="25" t="s">
        <v>2828</v>
      </c>
      <c r="C620" s="25" t="str">
        <f t="shared" si="38"/>
        <v>Thành phố Thái Bình - Thái Bình</v>
      </c>
      <c r="D620" s="25" t="s">
        <v>3142</v>
      </c>
      <c r="E620" s="25" t="s">
        <v>3145</v>
      </c>
      <c r="F620" s="23">
        <f t="shared" si="39"/>
        <v>1</v>
      </c>
      <c r="G620" s="23">
        <f t="shared" si="40"/>
        <v>1</v>
      </c>
    </row>
    <row r="621" spans="1:7" x14ac:dyDescent="0.35">
      <c r="A621" s="25" t="s">
        <v>531</v>
      </c>
      <c r="B621" s="25" t="s">
        <v>3012</v>
      </c>
      <c r="C621" s="25" t="str">
        <f t="shared" si="38"/>
        <v>Huyện Đại Từ - Thái Nguyên</v>
      </c>
      <c r="D621" s="25" t="s">
        <v>3139</v>
      </c>
      <c r="E621" s="25" t="s">
        <v>3145</v>
      </c>
      <c r="F621" s="23">
        <f t="shared" si="39"/>
        <v>1</v>
      </c>
      <c r="G621" s="23">
        <f t="shared" si="40"/>
        <v>1</v>
      </c>
    </row>
    <row r="622" spans="1:7" x14ac:dyDescent="0.35">
      <c r="A622" s="25" t="s">
        <v>531</v>
      </c>
      <c r="B622" s="25" t="s">
        <v>3047</v>
      </c>
      <c r="C622" s="25" t="str">
        <f t="shared" si="38"/>
        <v>Huyện Định Hóa - Thái Nguyên</v>
      </c>
      <c r="D622" s="25" t="s">
        <v>3139</v>
      </c>
      <c r="E622" s="25" t="s">
        <v>3145</v>
      </c>
      <c r="F622" s="23">
        <f t="shared" si="39"/>
        <v>1</v>
      </c>
      <c r="G622" s="23">
        <f t="shared" si="40"/>
        <v>1</v>
      </c>
    </row>
    <row r="623" spans="1:7" x14ac:dyDescent="0.35">
      <c r="A623" s="25" t="s">
        <v>531</v>
      </c>
      <c r="B623" s="25" t="s">
        <v>2841</v>
      </c>
      <c r="C623" s="25" t="str">
        <f t="shared" si="38"/>
        <v>Huyện Đồng Hỷ - Thái Nguyên</v>
      </c>
      <c r="D623" s="25" t="s">
        <v>3139</v>
      </c>
      <c r="E623" s="25" t="s">
        <v>3145</v>
      </c>
      <c r="F623" s="23">
        <f t="shared" si="39"/>
        <v>1</v>
      </c>
      <c r="G623" s="23">
        <f t="shared" si="40"/>
        <v>1</v>
      </c>
    </row>
    <row r="624" spans="1:7" x14ac:dyDescent="0.35">
      <c r="A624" s="25" t="s">
        <v>531</v>
      </c>
      <c r="B624" s="25" t="s">
        <v>2992</v>
      </c>
      <c r="C624" s="25" t="str">
        <f t="shared" si="38"/>
        <v>Huyện Phú Bình - Thái Nguyên</v>
      </c>
      <c r="D624" s="25" t="s">
        <v>3139</v>
      </c>
      <c r="E624" s="25" t="s">
        <v>3145</v>
      </c>
      <c r="F624" s="23">
        <f t="shared" si="39"/>
        <v>1</v>
      </c>
      <c r="G624" s="23">
        <f t="shared" si="40"/>
        <v>1</v>
      </c>
    </row>
    <row r="625" spans="1:7" x14ac:dyDescent="0.35">
      <c r="A625" s="25" t="s">
        <v>531</v>
      </c>
      <c r="B625" s="25" t="s">
        <v>3086</v>
      </c>
      <c r="C625" s="25" t="str">
        <f t="shared" si="38"/>
        <v>Huyện Phú Lương - Thái Nguyên</v>
      </c>
      <c r="D625" s="25" t="s">
        <v>3139</v>
      </c>
      <c r="E625" s="25" t="s">
        <v>3145</v>
      </c>
      <c r="F625" s="23">
        <f t="shared" si="39"/>
        <v>1</v>
      </c>
      <c r="G625" s="23">
        <f t="shared" si="40"/>
        <v>1</v>
      </c>
    </row>
    <row r="626" spans="1:7" x14ac:dyDescent="0.35">
      <c r="A626" s="25" t="s">
        <v>531</v>
      </c>
      <c r="B626" s="25" t="s">
        <v>2968</v>
      </c>
      <c r="C626" s="25" t="str">
        <f t="shared" si="38"/>
        <v>Huyện Võ Nhai - Thái Nguyên</v>
      </c>
      <c r="D626" s="25" t="s">
        <v>3139</v>
      </c>
      <c r="E626" s="25" t="s">
        <v>3145</v>
      </c>
      <c r="F626" s="23">
        <f t="shared" si="39"/>
        <v>1</v>
      </c>
      <c r="G626" s="23">
        <f t="shared" si="40"/>
        <v>1</v>
      </c>
    </row>
    <row r="627" spans="1:7" x14ac:dyDescent="0.35">
      <c r="A627" s="25" t="s">
        <v>531</v>
      </c>
      <c r="B627" s="26" t="s">
        <v>2862</v>
      </c>
      <c r="C627" s="25" t="str">
        <f t="shared" si="38"/>
        <v>Thị xã Sông Công - Thái Nguyên</v>
      </c>
      <c r="D627" s="25" t="s">
        <v>3141</v>
      </c>
      <c r="E627" s="25" t="s">
        <v>3145</v>
      </c>
      <c r="F627" s="23">
        <f t="shared" si="39"/>
        <v>1</v>
      </c>
      <c r="G627" s="23">
        <f t="shared" si="40"/>
        <v>1</v>
      </c>
    </row>
    <row r="628" spans="1:7" x14ac:dyDescent="0.35">
      <c r="A628" s="25" t="s">
        <v>531</v>
      </c>
      <c r="B628" s="25" t="s">
        <v>2829</v>
      </c>
      <c r="C628" s="25" t="str">
        <f t="shared" si="38"/>
        <v>Thành phố Thái Nguyên - Thái Nguyên</v>
      </c>
      <c r="D628" s="25" t="s">
        <v>3142</v>
      </c>
      <c r="E628" s="25" t="s">
        <v>3145</v>
      </c>
      <c r="F628" s="23">
        <f t="shared" si="39"/>
        <v>1</v>
      </c>
      <c r="G628" s="23">
        <f t="shared" si="40"/>
        <v>1</v>
      </c>
    </row>
    <row r="629" spans="1:7" x14ac:dyDescent="0.35">
      <c r="A629" s="25" t="s">
        <v>531</v>
      </c>
      <c r="B629" s="26" t="s">
        <v>2983</v>
      </c>
      <c r="C629" s="25" t="str">
        <f t="shared" si="38"/>
        <v>Huyện Phổ Yên - Thái Nguyên</v>
      </c>
      <c r="D629" s="25" t="s">
        <v>3139</v>
      </c>
      <c r="E629" s="25" t="s">
        <v>3145</v>
      </c>
      <c r="F629" s="23">
        <f t="shared" si="39"/>
        <v>1</v>
      </c>
      <c r="G629" s="23">
        <f t="shared" si="40"/>
        <v>1</v>
      </c>
    </row>
    <row r="630" spans="1:7" x14ac:dyDescent="0.35">
      <c r="A630" s="25" t="s">
        <v>532</v>
      </c>
      <c r="B630" s="25" t="s">
        <v>3059</v>
      </c>
      <c r="C630" s="25" t="str">
        <f t="shared" si="38"/>
        <v>Huyện Bá Thước - Thanh Hóa</v>
      </c>
      <c r="D630" s="25" t="s">
        <v>3139</v>
      </c>
      <c r="E630" s="25" t="s">
        <v>3145</v>
      </c>
      <c r="F630" s="23">
        <f t="shared" si="39"/>
        <v>1</v>
      </c>
      <c r="G630" s="23">
        <f t="shared" si="40"/>
        <v>1</v>
      </c>
    </row>
    <row r="631" spans="1:7" x14ac:dyDescent="0.35">
      <c r="A631" s="25" t="s">
        <v>532</v>
      </c>
      <c r="B631" s="25" t="s">
        <v>3060</v>
      </c>
      <c r="C631" s="25" t="str">
        <f t="shared" si="38"/>
        <v>Huyện Cẩm Thủy - Thanh Hóa</v>
      </c>
      <c r="D631" s="25" t="s">
        <v>3139</v>
      </c>
      <c r="E631" s="25" t="s">
        <v>3145</v>
      </c>
      <c r="F631" s="23">
        <f t="shared" si="39"/>
        <v>1</v>
      </c>
      <c r="G631" s="23">
        <f t="shared" si="40"/>
        <v>1</v>
      </c>
    </row>
    <row r="632" spans="1:7" x14ac:dyDescent="0.35">
      <c r="A632" s="25" t="s">
        <v>532</v>
      </c>
      <c r="B632" s="25" t="s">
        <v>2887</v>
      </c>
      <c r="C632" s="25" t="str">
        <f t="shared" si="38"/>
        <v>Huyện Đông Sơn - Thanh Hóa</v>
      </c>
      <c r="D632" s="25" t="s">
        <v>3141</v>
      </c>
      <c r="E632" s="25" t="s">
        <v>3145</v>
      </c>
      <c r="F632" s="23">
        <f t="shared" si="39"/>
        <v>1</v>
      </c>
      <c r="G632" s="23">
        <f t="shared" si="40"/>
        <v>1</v>
      </c>
    </row>
    <row r="633" spans="1:7" x14ac:dyDescent="0.35">
      <c r="A633" s="25" t="s">
        <v>532</v>
      </c>
      <c r="B633" s="25" t="s">
        <v>2865</v>
      </c>
      <c r="C633" s="25" t="str">
        <f t="shared" si="38"/>
        <v>Huyện Hà Trung - Thanh Hóa</v>
      </c>
      <c r="D633" s="25" t="s">
        <v>3139</v>
      </c>
      <c r="E633" s="25" t="s">
        <v>3145</v>
      </c>
      <c r="F633" s="23">
        <f t="shared" si="39"/>
        <v>1</v>
      </c>
      <c r="G633" s="23">
        <f t="shared" si="40"/>
        <v>1</v>
      </c>
    </row>
    <row r="634" spans="1:7" x14ac:dyDescent="0.35">
      <c r="A634" s="25" t="s">
        <v>532</v>
      </c>
      <c r="B634" s="25" t="s">
        <v>2989</v>
      </c>
      <c r="C634" s="25" t="str">
        <f t="shared" si="38"/>
        <v>Huyện Hậu Lộc - Thanh Hóa</v>
      </c>
      <c r="D634" s="25" t="s">
        <v>3139</v>
      </c>
      <c r="E634" s="25" t="s">
        <v>3145</v>
      </c>
      <c r="F634" s="23">
        <f t="shared" si="39"/>
        <v>1</v>
      </c>
      <c r="G634" s="23">
        <f t="shared" si="40"/>
        <v>1</v>
      </c>
    </row>
    <row r="635" spans="1:7" x14ac:dyDescent="0.35">
      <c r="A635" s="25" t="s">
        <v>532</v>
      </c>
      <c r="B635" s="25" t="s">
        <v>2843</v>
      </c>
      <c r="C635" s="25" t="str">
        <f t="shared" si="38"/>
        <v>Huyện Hoằng Hóa - Thanh Hóa</v>
      </c>
      <c r="D635" s="25" t="s">
        <v>3141</v>
      </c>
      <c r="E635" s="25" t="s">
        <v>3145</v>
      </c>
      <c r="F635" s="23">
        <f t="shared" si="39"/>
        <v>1</v>
      </c>
      <c r="G635" s="23">
        <f t="shared" si="40"/>
        <v>1</v>
      </c>
    </row>
    <row r="636" spans="1:7" x14ac:dyDescent="0.35">
      <c r="A636" s="25" t="s">
        <v>532</v>
      </c>
      <c r="B636" s="25" t="s">
        <v>3053</v>
      </c>
      <c r="C636" s="25" t="str">
        <f t="shared" si="38"/>
        <v>Huyện Lang Chánh - Thanh Hóa</v>
      </c>
      <c r="D636" s="25" t="s">
        <v>3139</v>
      </c>
      <c r="E636" s="25" t="s">
        <v>3145</v>
      </c>
      <c r="F636" s="23">
        <f t="shared" si="39"/>
        <v>1</v>
      </c>
      <c r="G636" s="23">
        <f t="shared" si="40"/>
        <v>1</v>
      </c>
    </row>
    <row r="637" spans="1:7" x14ac:dyDescent="0.35">
      <c r="A637" s="25" t="s">
        <v>532</v>
      </c>
      <c r="B637" s="25" t="s">
        <v>2923</v>
      </c>
      <c r="C637" s="25" t="str">
        <f t="shared" si="38"/>
        <v>Huyện Mường Lát - Thanh Hóa</v>
      </c>
      <c r="D637" s="25" t="s">
        <v>3139</v>
      </c>
      <c r="E637" s="25" t="s">
        <v>3145</v>
      </c>
      <c r="F637" s="23">
        <f t="shared" si="39"/>
        <v>1</v>
      </c>
      <c r="G637" s="23">
        <f t="shared" si="40"/>
        <v>1</v>
      </c>
    </row>
    <row r="638" spans="1:7" x14ac:dyDescent="0.35">
      <c r="A638" s="25" t="s">
        <v>532</v>
      </c>
      <c r="B638" s="25" t="s">
        <v>3050</v>
      </c>
      <c r="C638" s="25" t="str">
        <f t="shared" si="38"/>
        <v>Huyện Nga Sơn - Thanh Hóa</v>
      </c>
      <c r="D638" s="25" t="s">
        <v>3139</v>
      </c>
      <c r="E638" s="25" t="s">
        <v>3145</v>
      </c>
      <c r="F638" s="23">
        <f t="shared" si="39"/>
        <v>1</v>
      </c>
      <c r="G638" s="23">
        <f t="shared" si="40"/>
        <v>1</v>
      </c>
    </row>
    <row r="639" spans="1:7" x14ac:dyDescent="0.35">
      <c r="A639" s="25" t="s">
        <v>532</v>
      </c>
      <c r="B639" s="25" t="s">
        <v>2950</v>
      </c>
      <c r="C639" s="25" t="str">
        <f t="shared" si="38"/>
        <v>Huyện Ngọc Lặc - Thanh Hóa</v>
      </c>
      <c r="D639" s="25" t="s">
        <v>3139</v>
      </c>
      <c r="E639" s="25" t="s">
        <v>3145</v>
      </c>
      <c r="F639" s="23">
        <f t="shared" si="39"/>
        <v>1</v>
      </c>
      <c r="G639" s="23">
        <f t="shared" si="40"/>
        <v>1</v>
      </c>
    </row>
    <row r="640" spans="1:7" x14ac:dyDescent="0.35">
      <c r="A640" s="25" t="s">
        <v>532</v>
      </c>
      <c r="B640" s="25" t="s">
        <v>3080</v>
      </c>
      <c r="C640" s="25" t="str">
        <f t="shared" si="38"/>
        <v>Huyện Như Thanh - Thanh Hóa</v>
      </c>
      <c r="D640" s="25" t="s">
        <v>3139</v>
      </c>
      <c r="E640" s="25" t="s">
        <v>3145</v>
      </c>
      <c r="F640" s="23">
        <f t="shared" si="39"/>
        <v>1</v>
      </c>
      <c r="G640" s="23">
        <f t="shared" si="40"/>
        <v>1</v>
      </c>
    </row>
    <row r="641" spans="1:7" x14ac:dyDescent="0.35">
      <c r="A641" s="25" t="s">
        <v>532</v>
      </c>
      <c r="B641" s="25" t="s">
        <v>2952</v>
      </c>
      <c r="C641" s="25" t="str">
        <f t="shared" si="38"/>
        <v>Huyện Như Xuân - Thanh Hóa</v>
      </c>
      <c r="D641" s="25" t="s">
        <v>3139</v>
      </c>
      <c r="E641" s="25" t="s">
        <v>3145</v>
      </c>
      <c r="F641" s="23">
        <f t="shared" si="39"/>
        <v>1</v>
      </c>
      <c r="G641" s="23">
        <f t="shared" si="40"/>
        <v>1</v>
      </c>
    </row>
    <row r="642" spans="1:7" x14ac:dyDescent="0.35">
      <c r="A642" s="25" t="s">
        <v>532</v>
      </c>
      <c r="B642" s="25" t="s">
        <v>2907</v>
      </c>
      <c r="C642" s="25" t="str">
        <f t="shared" si="38"/>
        <v>Huyện Nông Cống - Thanh Hóa</v>
      </c>
      <c r="D642" s="25" t="s">
        <v>3139</v>
      </c>
      <c r="E642" s="25" t="s">
        <v>3145</v>
      </c>
      <c r="F642" s="23">
        <f t="shared" si="39"/>
        <v>1</v>
      </c>
      <c r="G642" s="23">
        <f t="shared" si="40"/>
        <v>1</v>
      </c>
    </row>
    <row r="643" spans="1:7" x14ac:dyDescent="0.35">
      <c r="A643" s="25" t="s">
        <v>532</v>
      </c>
      <c r="B643" s="25" t="s">
        <v>2926</v>
      </c>
      <c r="C643" s="25" t="str">
        <f t="shared" si="38"/>
        <v>Huyện Quan Hóa - Thanh Hóa</v>
      </c>
      <c r="D643" s="25" t="s">
        <v>3139</v>
      </c>
      <c r="E643" s="25" t="s">
        <v>3145</v>
      </c>
      <c r="F643" s="23">
        <f t="shared" si="39"/>
        <v>1</v>
      </c>
      <c r="G643" s="23">
        <f t="shared" si="40"/>
        <v>1</v>
      </c>
    </row>
    <row r="644" spans="1:7" x14ac:dyDescent="0.35">
      <c r="A644" s="25" t="s">
        <v>532</v>
      </c>
      <c r="B644" s="25" t="s">
        <v>2991</v>
      </c>
      <c r="C644" s="25" t="str">
        <f t="shared" si="38"/>
        <v>Huyện Quan Sơn - Thanh Hóa</v>
      </c>
      <c r="D644" s="25" t="s">
        <v>3139</v>
      </c>
      <c r="E644" s="25" t="s">
        <v>3145</v>
      </c>
      <c r="F644" s="23">
        <f t="shared" si="39"/>
        <v>1</v>
      </c>
      <c r="G644" s="23">
        <f t="shared" si="40"/>
        <v>1</v>
      </c>
    </row>
    <row r="645" spans="1:7" x14ac:dyDescent="0.35">
      <c r="A645" s="25" t="s">
        <v>532</v>
      </c>
      <c r="B645" s="25" t="s">
        <v>2846</v>
      </c>
      <c r="C645" s="25" t="str">
        <f t="shared" si="38"/>
        <v>Huyện Quảng Xương - Thanh Hóa</v>
      </c>
      <c r="D645" s="25" t="s">
        <v>3141</v>
      </c>
      <c r="E645" s="25" t="s">
        <v>3145</v>
      </c>
      <c r="F645" s="23">
        <f t="shared" si="39"/>
        <v>1</v>
      </c>
      <c r="G645" s="23">
        <f t="shared" si="40"/>
        <v>1</v>
      </c>
    </row>
    <row r="646" spans="1:7" x14ac:dyDescent="0.35">
      <c r="A646" s="25" t="s">
        <v>532</v>
      </c>
      <c r="B646" s="25" t="s">
        <v>2949</v>
      </c>
      <c r="C646" s="25" t="str">
        <f t="shared" si="38"/>
        <v>Huyện Thạch Thành - Thanh Hóa</v>
      </c>
      <c r="D646" s="25" t="s">
        <v>3139</v>
      </c>
      <c r="E646" s="25" t="s">
        <v>3145</v>
      </c>
      <c r="F646" s="23">
        <f t="shared" si="39"/>
        <v>1</v>
      </c>
      <c r="G646" s="23">
        <f t="shared" si="40"/>
        <v>1</v>
      </c>
    </row>
    <row r="647" spans="1:7" x14ac:dyDescent="0.35">
      <c r="A647" s="25" t="s">
        <v>532</v>
      </c>
      <c r="B647" s="25" t="s">
        <v>2902</v>
      </c>
      <c r="C647" s="25" t="str">
        <f t="shared" ref="C647:C710" si="41">B647&amp;" - "&amp;A647</f>
        <v>Huyện Thiệu Hóa - Thanh Hóa</v>
      </c>
      <c r="D647" s="25" t="s">
        <v>3141</v>
      </c>
      <c r="E647" s="25" t="s">
        <v>3145</v>
      </c>
      <c r="F647" s="23">
        <f t="shared" si="39"/>
        <v>1</v>
      </c>
      <c r="G647" s="23">
        <f t="shared" si="40"/>
        <v>1</v>
      </c>
    </row>
    <row r="648" spans="1:7" x14ac:dyDescent="0.35">
      <c r="A648" s="25" t="s">
        <v>532</v>
      </c>
      <c r="B648" s="25" t="s">
        <v>2932</v>
      </c>
      <c r="C648" s="25" t="str">
        <f t="shared" si="41"/>
        <v>Huyện Thọ Xuân - Thanh Hóa</v>
      </c>
      <c r="D648" s="25" t="s">
        <v>3139</v>
      </c>
      <c r="E648" s="25" t="s">
        <v>3145</v>
      </c>
      <c r="F648" s="23">
        <f t="shared" si="39"/>
        <v>1</v>
      </c>
      <c r="G648" s="23">
        <f t="shared" si="40"/>
        <v>1</v>
      </c>
    </row>
    <row r="649" spans="1:7" x14ac:dyDescent="0.35">
      <c r="A649" s="25" t="s">
        <v>532</v>
      </c>
      <c r="B649" s="25" t="s">
        <v>2933</v>
      </c>
      <c r="C649" s="25" t="str">
        <f t="shared" si="41"/>
        <v>Huyện Thường Xuân - Thanh Hóa</v>
      </c>
      <c r="D649" s="25" t="s">
        <v>3139</v>
      </c>
      <c r="E649" s="25" t="s">
        <v>3145</v>
      </c>
      <c r="F649" s="23">
        <f t="shared" si="39"/>
        <v>1</v>
      </c>
      <c r="G649" s="23">
        <f t="shared" si="40"/>
        <v>1</v>
      </c>
    </row>
    <row r="650" spans="1:7" x14ac:dyDescent="0.35">
      <c r="A650" s="25" t="s">
        <v>532</v>
      </c>
      <c r="B650" s="25" t="s">
        <v>2935</v>
      </c>
      <c r="C650" s="25" t="str">
        <f t="shared" si="41"/>
        <v>Huyện Tĩnh Gia - Thanh Hóa</v>
      </c>
      <c r="D650" s="25" t="s">
        <v>3139</v>
      </c>
      <c r="E650" s="25" t="s">
        <v>3145</v>
      </c>
      <c r="F650" s="23">
        <f t="shared" ref="F650:F718" si="42">COUNTIF($B:$B,B650)</f>
        <v>1</v>
      </c>
      <c r="G650" s="23">
        <f t="shared" ref="G650:G718" si="43">COUNTIF($C:$C,C650)</f>
        <v>1</v>
      </c>
    </row>
    <row r="651" spans="1:7" x14ac:dyDescent="0.35">
      <c r="A651" s="25" t="s">
        <v>532</v>
      </c>
      <c r="B651" s="25" t="s">
        <v>2908</v>
      </c>
      <c r="C651" s="25" t="str">
        <f t="shared" si="41"/>
        <v>Huyện Triệu Sơn - Thanh Hóa</v>
      </c>
      <c r="D651" s="25" t="s">
        <v>3139</v>
      </c>
      <c r="E651" s="25" t="s">
        <v>3145</v>
      </c>
      <c r="F651" s="23">
        <f t="shared" si="42"/>
        <v>1</v>
      </c>
      <c r="G651" s="23">
        <f t="shared" si="43"/>
        <v>1</v>
      </c>
    </row>
    <row r="652" spans="1:7" x14ac:dyDescent="0.35">
      <c r="A652" s="25" t="s">
        <v>532</v>
      </c>
      <c r="B652" s="25" t="s">
        <v>2937</v>
      </c>
      <c r="C652" s="25" t="str">
        <f t="shared" si="41"/>
        <v>Huyện Vĩnh Lộc - Thanh Hóa</v>
      </c>
      <c r="D652" s="25" t="s">
        <v>3139</v>
      </c>
      <c r="E652" s="25" t="s">
        <v>3145</v>
      </c>
      <c r="F652" s="23">
        <f t="shared" si="42"/>
        <v>1</v>
      </c>
      <c r="G652" s="23">
        <f t="shared" si="43"/>
        <v>1</v>
      </c>
    </row>
    <row r="653" spans="1:7" x14ac:dyDescent="0.35">
      <c r="A653" s="25" t="s">
        <v>532</v>
      </c>
      <c r="B653" s="25" t="s">
        <v>2951</v>
      </c>
      <c r="C653" s="25" t="str">
        <f t="shared" si="41"/>
        <v>Huyện Yên Định - Thanh Hóa</v>
      </c>
      <c r="D653" s="25" t="s">
        <v>3139</v>
      </c>
      <c r="E653" s="25" t="s">
        <v>3145</v>
      </c>
      <c r="F653" s="23">
        <f t="shared" si="42"/>
        <v>1</v>
      </c>
      <c r="G653" s="23">
        <f t="shared" si="43"/>
        <v>1</v>
      </c>
    </row>
    <row r="654" spans="1:7" x14ac:dyDescent="0.35">
      <c r="A654" s="25" t="s">
        <v>532</v>
      </c>
      <c r="B654" s="25" t="s">
        <v>2830</v>
      </c>
      <c r="C654" s="25" t="str">
        <f t="shared" si="41"/>
        <v>Thành phố Thanh Hóa - Thanh Hóa</v>
      </c>
      <c r="D654" s="25" t="s">
        <v>3142</v>
      </c>
      <c r="E654" s="25" t="s">
        <v>3145</v>
      </c>
      <c r="F654" s="23">
        <f t="shared" si="42"/>
        <v>1</v>
      </c>
      <c r="G654" s="23">
        <f t="shared" si="43"/>
        <v>1</v>
      </c>
    </row>
    <row r="655" spans="1:7" x14ac:dyDescent="0.35">
      <c r="A655" s="25" t="s">
        <v>532</v>
      </c>
      <c r="B655" s="25" t="s">
        <v>3172</v>
      </c>
      <c r="C655" s="25" t="str">
        <f t="shared" si="41"/>
        <v>Thị xã Bỉm Sơn - Thanh Hóa</v>
      </c>
      <c r="D655" s="25" t="s">
        <v>3139</v>
      </c>
      <c r="E655" s="25" t="s">
        <v>3145</v>
      </c>
      <c r="F655" s="23">
        <f t="shared" si="42"/>
        <v>1</v>
      </c>
      <c r="G655" s="23">
        <f t="shared" si="43"/>
        <v>1</v>
      </c>
    </row>
    <row r="656" spans="1:7" x14ac:dyDescent="0.35">
      <c r="A656" s="25" t="s">
        <v>532</v>
      </c>
      <c r="B656" s="25" t="s">
        <v>3173</v>
      </c>
      <c r="C656" s="25" t="str">
        <f t="shared" si="41"/>
        <v>Thị xã Sầm Sơn - Thanh Hóa</v>
      </c>
      <c r="D656" s="25" t="s">
        <v>3141</v>
      </c>
      <c r="E656" s="25" t="s">
        <v>3145</v>
      </c>
      <c r="F656" s="23">
        <f t="shared" si="42"/>
        <v>1</v>
      </c>
      <c r="G656" s="23">
        <f t="shared" si="43"/>
        <v>1</v>
      </c>
    </row>
    <row r="657" spans="1:7" x14ac:dyDescent="0.35">
      <c r="A657" s="26" t="s">
        <v>3179</v>
      </c>
      <c r="B657" s="25" t="s">
        <v>2775</v>
      </c>
      <c r="C657" s="25" t="str">
        <f t="shared" si="41"/>
        <v>Huyện A Lưới - Thừa Thiên - Huế</v>
      </c>
      <c r="D657" s="25" t="s">
        <v>3139</v>
      </c>
      <c r="E657" s="25" t="s">
        <v>3152</v>
      </c>
      <c r="F657" s="23">
        <f t="shared" si="42"/>
        <v>1</v>
      </c>
      <c r="G657" s="23">
        <f t="shared" si="43"/>
        <v>1</v>
      </c>
    </row>
    <row r="658" spans="1:7" x14ac:dyDescent="0.35">
      <c r="A658" s="26" t="s">
        <v>3179</v>
      </c>
      <c r="B658" s="25" t="s">
        <v>2792</v>
      </c>
      <c r="C658" s="25" t="str">
        <f t="shared" si="41"/>
        <v>Huyện Nam Đông - Thừa Thiên - Huế</v>
      </c>
      <c r="D658" s="25" t="s">
        <v>3139</v>
      </c>
      <c r="E658" s="25" t="s">
        <v>3152</v>
      </c>
      <c r="F658" s="23">
        <f t="shared" si="42"/>
        <v>1</v>
      </c>
      <c r="G658" s="23">
        <f t="shared" si="43"/>
        <v>1</v>
      </c>
    </row>
    <row r="659" spans="1:7" x14ac:dyDescent="0.35">
      <c r="A659" s="26" t="s">
        <v>3179</v>
      </c>
      <c r="B659" s="25" t="s">
        <v>2557</v>
      </c>
      <c r="C659" s="25" t="str">
        <f t="shared" si="41"/>
        <v>Huyện Phong Điền - Thừa Thiên - Huế</v>
      </c>
      <c r="D659" s="25" t="s">
        <v>3139</v>
      </c>
      <c r="E659" s="25" t="s">
        <v>3152</v>
      </c>
      <c r="F659" s="23">
        <f t="shared" si="42"/>
        <v>2</v>
      </c>
      <c r="G659" s="23">
        <f t="shared" si="43"/>
        <v>1</v>
      </c>
    </row>
    <row r="660" spans="1:7" x14ac:dyDescent="0.35">
      <c r="A660" s="26" t="s">
        <v>3179</v>
      </c>
      <c r="B660" s="25" t="s">
        <v>2772</v>
      </c>
      <c r="C660" s="25" t="str">
        <f t="shared" si="41"/>
        <v>Huyện Phú Lộc - Thừa Thiên - Huế</v>
      </c>
      <c r="D660" s="25" t="s">
        <v>3139</v>
      </c>
      <c r="E660" s="25" t="s">
        <v>3152</v>
      </c>
      <c r="F660" s="23">
        <f t="shared" si="42"/>
        <v>1</v>
      </c>
      <c r="G660" s="23">
        <f t="shared" si="43"/>
        <v>1</v>
      </c>
    </row>
    <row r="661" spans="1:7" x14ac:dyDescent="0.35">
      <c r="A661" s="26" t="s">
        <v>3179</v>
      </c>
      <c r="B661" s="25" t="s">
        <v>2769</v>
      </c>
      <c r="C661" s="25" t="str">
        <f t="shared" si="41"/>
        <v>Huyện Phú Vang - Thừa Thiên - Huế</v>
      </c>
      <c r="D661" s="25" t="s">
        <v>3141</v>
      </c>
      <c r="E661" s="25" t="s">
        <v>3152</v>
      </c>
      <c r="F661" s="23">
        <f t="shared" si="42"/>
        <v>1</v>
      </c>
      <c r="G661" s="23">
        <f t="shared" si="43"/>
        <v>1</v>
      </c>
    </row>
    <row r="662" spans="1:7" x14ac:dyDescent="0.35">
      <c r="A662" s="26" t="s">
        <v>3179</v>
      </c>
      <c r="B662" s="25" t="s">
        <v>2765</v>
      </c>
      <c r="C662" s="25" t="str">
        <f t="shared" si="41"/>
        <v>Huyện Quảng Điền - Thừa Thiên - Huế</v>
      </c>
      <c r="D662" s="25" t="s">
        <v>3141</v>
      </c>
      <c r="E662" s="25" t="s">
        <v>3152</v>
      </c>
      <c r="F662" s="23">
        <f t="shared" si="42"/>
        <v>1</v>
      </c>
      <c r="G662" s="23">
        <f t="shared" si="43"/>
        <v>1</v>
      </c>
    </row>
    <row r="663" spans="1:7" x14ac:dyDescent="0.35">
      <c r="A663" s="26" t="s">
        <v>3179</v>
      </c>
      <c r="B663" s="25" t="s">
        <v>2746</v>
      </c>
      <c r="C663" s="25" t="str">
        <f t="shared" si="41"/>
        <v>Thành phố Huế - Thừa Thiên - Huế</v>
      </c>
      <c r="D663" s="25" t="s">
        <v>3142</v>
      </c>
      <c r="E663" s="25" t="s">
        <v>3152</v>
      </c>
      <c r="F663" s="23">
        <f t="shared" si="42"/>
        <v>1</v>
      </c>
      <c r="G663" s="23">
        <f t="shared" si="43"/>
        <v>1</v>
      </c>
    </row>
    <row r="664" spans="1:7" x14ac:dyDescent="0.35">
      <c r="A664" s="26" t="s">
        <v>3179</v>
      </c>
      <c r="B664" s="25" t="s">
        <v>2756</v>
      </c>
      <c r="C664" s="25" t="str">
        <f t="shared" si="41"/>
        <v>Thị xã Hương Thủy - Thừa Thiên - Huế</v>
      </c>
      <c r="D664" s="25" t="s">
        <v>3141</v>
      </c>
      <c r="E664" s="25" t="s">
        <v>3152</v>
      </c>
      <c r="F664" s="23">
        <f t="shared" si="42"/>
        <v>1</v>
      </c>
      <c r="G664" s="23">
        <f t="shared" si="43"/>
        <v>1</v>
      </c>
    </row>
    <row r="665" spans="1:7" x14ac:dyDescent="0.35">
      <c r="A665" s="26" t="s">
        <v>3179</v>
      </c>
      <c r="B665" s="25" t="s">
        <v>2757</v>
      </c>
      <c r="C665" s="25" t="str">
        <f t="shared" si="41"/>
        <v>Thị xã Hương Trà - Thừa Thiên - Huế</v>
      </c>
      <c r="D665" s="25" t="s">
        <v>3141</v>
      </c>
      <c r="E665" s="25" t="s">
        <v>3152</v>
      </c>
      <c r="F665" s="23">
        <f t="shared" si="42"/>
        <v>1</v>
      </c>
      <c r="G665" s="23">
        <f t="shared" si="43"/>
        <v>1</v>
      </c>
    </row>
    <row r="666" spans="1:7" x14ac:dyDescent="0.35">
      <c r="A666" s="25" t="s">
        <v>563</v>
      </c>
      <c r="B666" s="25" t="s">
        <v>2651</v>
      </c>
      <c r="C666" s="25" t="str">
        <f t="shared" si="41"/>
        <v>Huyện Cái Bè - Tiền Giang</v>
      </c>
      <c r="D666" s="25" t="s">
        <v>3139</v>
      </c>
      <c r="E666" s="25" t="s">
        <v>3140</v>
      </c>
      <c r="F666" s="23">
        <f t="shared" si="42"/>
        <v>1</v>
      </c>
      <c r="G666" s="23">
        <f t="shared" si="43"/>
        <v>1</v>
      </c>
    </row>
    <row r="667" spans="1:7" x14ac:dyDescent="0.35">
      <c r="A667" s="25" t="s">
        <v>563</v>
      </c>
      <c r="B667" s="25" t="s">
        <v>2739</v>
      </c>
      <c r="C667" s="25" t="str">
        <f t="shared" si="41"/>
        <v>Huyện Cai Lậy - Tiền Giang</v>
      </c>
      <c r="D667" s="25" t="s">
        <v>3139</v>
      </c>
      <c r="E667" s="25" t="s">
        <v>3140</v>
      </c>
      <c r="F667" s="23">
        <f t="shared" si="42"/>
        <v>1</v>
      </c>
      <c r="G667" s="23">
        <f t="shared" si="43"/>
        <v>1</v>
      </c>
    </row>
    <row r="668" spans="1:7" x14ac:dyDescent="0.35">
      <c r="A668" s="25" t="s">
        <v>563</v>
      </c>
      <c r="B668" s="25" t="s">
        <v>2523</v>
      </c>
      <c r="C668" s="25" t="str">
        <f t="shared" si="41"/>
        <v>Huyện Châu Thành - Tiền Giang</v>
      </c>
      <c r="D668" s="25" t="s">
        <v>3141</v>
      </c>
      <c r="E668" s="25" t="s">
        <v>3140</v>
      </c>
      <c r="F668" s="23">
        <f t="shared" si="42"/>
        <v>10</v>
      </c>
      <c r="G668" s="23">
        <f t="shared" si="43"/>
        <v>1</v>
      </c>
    </row>
    <row r="669" spans="1:7" x14ac:dyDescent="0.35">
      <c r="A669" s="25" t="s">
        <v>563</v>
      </c>
      <c r="B669" s="25" t="s">
        <v>2524</v>
      </c>
      <c r="C669" s="25" t="str">
        <f t="shared" si="41"/>
        <v>Huyện Chợ Gạo - Tiền Giang</v>
      </c>
      <c r="D669" s="25" t="s">
        <v>3141</v>
      </c>
      <c r="E669" s="25" t="s">
        <v>3140</v>
      </c>
      <c r="F669" s="23">
        <f t="shared" si="42"/>
        <v>1</v>
      </c>
      <c r="G669" s="23">
        <f t="shared" si="43"/>
        <v>1</v>
      </c>
    </row>
    <row r="670" spans="1:7" x14ac:dyDescent="0.35">
      <c r="A670" s="25" t="s">
        <v>563</v>
      </c>
      <c r="B670" s="25" t="s">
        <v>2673</v>
      </c>
      <c r="C670" s="25" t="str">
        <f t="shared" si="41"/>
        <v>Huyện Gò Công Đông - Tiền Giang</v>
      </c>
      <c r="D670" s="25" t="s">
        <v>3139</v>
      </c>
      <c r="E670" s="25" t="s">
        <v>3140</v>
      </c>
      <c r="F670" s="23">
        <f t="shared" si="42"/>
        <v>1</v>
      </c>
      <c r="G670" s="23">
        <f t="shared" si="43"/>
        <v>1</v>
      </c>
    </row>
    <row r="671" spans="1:7" x14ac:dyDescent="0.35">
      <c r="A671" s="25" t="s">
        <v>563</v>
      </c>
      <c r="B671" s="25" t="s">
        <v>2544</v>
      </c>
      <c r="C671" s="25" t="str">
        <f t="shared" si="41"/>
        <v>Huyện Gò Công Tây - Tiền Giang</v>
      </c>
      <c r="D671" s="25" t="s">
        <v>3139</v>
      </c>
      <c r="E671" s="25" t="s">
        <v>3140</v>
      </c>
      <c r="F671" s="23">
        <f t="shared" si="42"/>
        <v>1</v>
      </c>
      <c r="G671" s="23">
        <f t="shared" si="43"/>
        <v>1</v>
      </c>
    </row>
    <row r="672" spans="1:7" x14ac:dyDescent="0.35">
      <c r="A672" s="25" t="s">
        <v>563</v>
      </c>
      <c r="B672" s="25" t="s">
        <v>2727</v>
      </c>
      <c r="C672" s="25" t="str">
        <f t="shared" si="41"/>
        <v>Huyện Tân Phú Đông - Tiền Giang</v>
      </c>
      <c r="D672" s="25" t="s">
        <v>3139</v>
      </c>
      <c r="E672" s="25" t="s">
        <v>3140</v>
      </c>
      <c r="F672" s="23">
        <f t="shared" si="42"/>
        <v>1</v>
      </c>
      <c r="G672" s="23">
        <f t="shared" si="43"/>
        <v>1</v>
      </c>
    </row>
    <row r="673" spans="1:7" x14ac:dyDescent="0.35">
      <c r="A673" s="25" t="s">
        <v>563</v>
      </c>
      <c r="B673" s="25" t="s">
        <v>2560</v>
      </c>
      <c r="C673" s="25" t="str">
        <f t="shared" si="41"/>
        <v>Huyện Tân Phước - Tiền Giang</v>
      </c>
      <c r="D673" s="25" t="s">
        <v>3139</v>
      </c>
      <c r="E673" s="25" t="s">
        <v>3140</v>
      </c>
      <c r="F673" s="23">
        <f t="shared" si="42"/>
        <v>1</v>
      </c>
      <c r="G673" s="23">
        <f t="shared" si="43"/>
        <v>1</v>
      </c>
    </row>
    <row r="674" spans="1:7" x14ac:dyDescent="0.35">
      <c r="A674" s="25" t="s">
        <v>563</v>
      </c>
      <c r="B674" s="25" t="s">
        <v>2504</v>
      </c>
      <c r="C674" s="25" t="str">
        <f t="shared" si="41"/>
        <v>Thành phố Mỹ Tho - Tiền Giang</v>
      </c>
      <c r="D674" s="25" t="s">
        <v>3142</v>
      </c>
      <c r="E674" s="25" t="s">
        <v>3140</v>
      </c>
      <c r="F674" s="23">
        <f t="shared" si="42"/>
        <v>1</v>
      </c>
      <c r="G674" s="23">
        <f t="shared" si="43"/>
        <v>1</v>
      </c>
    </row>
    <row r="675" spans="1:7" x14ac:dyDescent="0.35">
      <c r="A675" s="25" t="s">
        <v>563</v>
      </c>
      <c r="B675" s="25" t="s">
        <v>2663</v>
      </c>
      <c r="C675" s="25" t="str">
        <f t="shared" si="41"/>
        <v>Thị xã Cai Lậy - Tiền Giang</v>
      </c>
      <c r="D675" s="25" t="s">
        <v>3141</v>
      </c>
      <c r="E675" s="25" t="s">
        <v>3140</v>
      </c>
      <c r="F675" s="23">
        <f t="shared" si="42"/>
        <v>1</v>
      </c>
      <c r="G675" s="23">
        <f t="shared" si="43"/>
        <v>1</v>
      </c>
    </row>
    <row r="676" spans="1:7" x14ac:dyDescent="0.35">
      <c r="A676" s="25" t="s">
        <v>563</v>
      </c>
      <c r="B676" s="25" t="s">
        <v>2667</v>
      </c>
      <c r="C676" s="25" t="str">
        <f t="shared" si="41"/>
        <v>Thị xã Gò Công - Tiền Giang</v>
      </c>
      <c r="D676" s="25" t="s">
        <v>3139</v>
      </c>
      <c r="E676" s="25" t="s">
        <v>3140</v>
      </c>
      <c r="F676" s="23">
        <f t="shared" si="42"/>
        <v>1</v>
      </c>
      <c r="G676" s="23">
        <f t="shared" si="43"/>
        <v>1</v>
      </c>
    </row>
    <row r="677" spans="1:7" x14ac:dyDescent="0.35">
      <c r="A677" s="25" t="s">
        <v>564</v>
      </c>
      <c r="B677" s="25" t="s">
        <v>2728</v>
      </c>
      <c r="C677" s="25" t="str">
        <f t="shared" si="41"/>
        <v>Huyện Càng Long - Trà Vinh</v>
      </c>
      <c r="D677" s="25" t="s">
        <v>3139</v>
      </c>
      <c r="E677" s="25" t="s">
        <v>3140</v>
      </c>
      <c r="F677" s="23">
        <f t="shared" si="42"/>
        <v>1</v>
      </c>
      <c r="G677" s="23">
        <f t="shared" si="43"/>
        <v>1</v>
      </c>
    </row>
    <row r="678" spans="1:7" x14ac:dyDescent="0.35">
      <c r="A678" s="25" t="s">
        <v>564</v>
      </c>
      <c r="B678" s="25" t="s">
        <v>2720</v>
      </c>
      <c r="C678" s="25" t="str">
        <f t="shared" si="41"/>
        <v>Huyện Cầu Kè - Trà Vinh</v>
      </c>
      <c r="D678" s="25" t="s">
        <v>3139</v>
      </c>
      <c r="E678" s="25" t="s">
        <v>3140</v>
      </c>
      <c r="F678" s="23">
        <f t="shared" si="42"/>
        <v>1</v>
      </c>
      <c r="G678" s="23">
        <f t="shared" si="43"/>
        <v>1</v>
      </c>
    </row>
    <row r="679" spans="1:7" x14ac:dyDescent="0.35">
      <c r="A679" s="25" t="s">
        <v>564</v>
      </c>
      <c r="B679" s="25" t="s">
        <v>2671</v>
      </c>
      <c r="C679" s="25" t="str">
        <f t="shared" si="41"/>
        <v>Huyện Cầu Ngang - Trà Vinh</v>
      </c>
      <c r="D679" s="25" t="s">
        <v>3139</v>
      </c>
      <c r="E679" s="25" t="s">
        <v>3140</v>
      </c>
      <c r="F679" s="23">
        <f t="shared" si="42"/>
        <v>1</v>
      </c>
      <c r="G679" s="23">
        <f t="shared" si="43"/>
        <v>1</v>
      </c>
    </row>
    <row r="680" spans="1:7" x14ac:dyDescent="0.35">
      <c r="A680" s="25" t="s">
        <v>564</v>
      </c>
      <c r="B680" s="25" t="s">
        <v>2523</v>
      </c>
      <c r="C680" s="25" t="str">
        <f t="shared" si="41"/>
        <v>Huyện Châu Thành - Trà Vinh</v>
      </c>
      <c r="D680" s="25" t="s">
        <v>3141</v>
      </c>
      <c r="E680" s="25" t="s">
        <v>3140</v>
      </c>
      <c r="F680" s="23">
        <f t="shared" si="42"/>
        <v>10</v>
      </c>
      <c r="G680" s="23">
        <f t="shared" si="43"/>
        <v>1</v>
      </c>
    </row>
    <row r="681" spans="1:7" x14ac:dyDescent="0.35">
      <c r="A681" s="25" t="s">
        <v>564</v>
      </c>
      <c r="B681" s="25" t="s">
        <v>2734</v>
      </c>
      <c r="C681" s="25" t="str">
        <f t="shared" si="41"/>
        <v>Huyện Duyên Hải - Trà Vinh</v>
      </c>
      <c r="D681" s="25" t="s">
        <v>3139</v>
      </c>
      <c r="E681" s="25" t="s">
        <v>3140</v>
      </c>
      <c r="F681" s="23">
        <f t="shared" si="42"/>
        <v>1</v>
      </c>
      <c r="G681" s="23">
        <f t="shared" si="43"/>
        <v>1</v>
      </c>
    </row>
    <row r="682" spans="1:7" x14ac:dyDescent="0.35">
      <c r="A682" s="25" t="s">
        <v>564</v>
      </c>
      <c r="B682" s="25" t="s">
        <v>2672</v>
      </c>
      <c r="C682" s="25" t="str">
        <f t="shared" si="41"/>
        <v>Huyện Tiểu Cần - Trà Vinh</v>
      </c>
      <c r="D682" s="25" t="s">
        <v>3139</v>
      </c>
      <c r="E682" s="25" t="s">
        <v>3140</v>
      </c>
      <c r="F682" s="23">
        <f t="shared" si="42"/>
        <v>1</v>
      </c>
      <c r="G682" s="23">
        <f t="shared" si="43"/>
        <v>1</v>
      </c>
    </row>
    <row r="683" spans="1:7" x14ac:dyDescent="0.35">
      <c r="A683" s="25" t="s">
        <v>564</v>
      </c>
      <c r="B683" s="25" t="s">
        <v>2657</v>
      </c>
      <c r="C683" s="25" t="str">
        <f t="shared" si="41"/>
        <v>Huyện Trà Cú - Trà Vinh</v>
      </c>
      <c r="D683" s="25" t="s">
        <v>3139</v>
      </c>
      <c r="E683" s="25" t="s">
        <v>3140</v>
      </c>
      <c r="F683" s="23">
        <f t="shared" si="42"/>
        <v>1</v>
      </c>
      <c r="G683" s="23">
        <f t="shared" si="43"/>
        <v>1</v>
      </c>
    </row>
    <row r="684" spans="1:7" x14ac:dyDescent="0.35">
      <c r="A684" s="25" t="s">
        <v>564</v>
      </c>
      <c r="B684" s="25" t="s">
        <v>2515</v>
      </c>
      <c r="C684" s="25" t="str">
        <f t="shared" si="41"/>
        <v>Thành phố Trà Vinh - Trà Vinh</v>
      </c>
      <c r="D684" s="25" t="s">
        <v>3142</v>
      </c>
      <c r="E684" s="25" t="s">
        <v>3140</v>
      </c>
      <c r="F684" s="23">
        <f t="shared" si="42"/>
        <v>1</v>
      </c>
      <c r="G684" s="23">
        <f t="shared" si="43"/>
        <v>1</v>
      </c>
    </row>
    <row r="685" spans="1:7" x14ac:dyDescent="0.35">
      <c r="A685" s="25" t="s">
        <v>564</v>
      </c>
      <c r="B685" s="25" t="s">
        <v>2733</v>
      </c>
      <c r="C685" s="25" t="str">
        <f t="shared" si="41"/>
        <v>Thị xã Duyên Hải - Trà Vinh</v>
      </c>
      <c r="D685" s="25" t="s">
        <v>3141</v>
      </c>
      <c r="E685" s="25" t="s">
        <v>3140</v>
      </c>
      <c r="F685" s="23">
        <f t="shared" si="42"/>
        <v>1</v>
      </c>
      <c r="G685" s="23">
        <f t="shared" si="43"/>
        <v>1</v>
      </c>
    </row>
    <row r="686" spans="1:7" x14ac:dyDescent="0.35">
      <c r="A686" s="25" t="s">
        <v>529</v>
      </c>
      <c r="B686" s="25" t="s">
        <v>3062</v>
      </c>
      <c r="C686" s="25" t="str">
        <f t="shared" si="41"/>
        <v>Huyện Chiêm Hóa - Tuyên Quang</v>
      </c>
      <c r="D686" s="25" t="s">
        <v>3139</v>
      </c>
      <c r="E686" s="25" t="s">
        <v>3145</v>
      </c>
      <c r="F686" s="23">
        <f t="shared" si="42"/>
        <v>1</v>
      </c>
      <c r="G686" s="23">
        <f t="shared" si="43"/>
        <v>1</v>
      </c>
    </row>
    <row r="687" spans="1:7" x14ac:dyDescent="0.35">
      <c r="A687" s="25" t="s">
        <v>529</v>
      </c>
      <c r="B687" s="25" t="s">
        <v>3021</v>
      </c>
      <c r="C687" s="25" t="str">
        <f t="shared" si="41"/>
        <v>Huyện Hàm Yên - Tuyên Quang</v>
      </c>
      <c r="D687" s="25" t="s">
        <v>3139</v>
      </c>
      <c r="E687" s="25" t="s">
        <v>3145</v>
      </c>
      <c r="F687" s="23">
        <f t="shared" si="42"/>
        <v>1</v>
      </c>
      <c r="G687" s="23">
        <f t="shared" si="43"/>
        <v>1</v>
      </c>
    </row>
    <row r="688" spans="1:7" x14ac:dyDescent="0.35">
      <c r="A688" s="25" t="s">
        <v>529</v>
      </c>
      <c r="B688" s="25" t="s">
        <v>3000</v>
      </c>
      <c r="C688" s="25" t="str">
        <f t="shared" si="41"/>
        <v>Huyện Lâm Bình - Tuyên Quang</v>
      </c>
      <c r="D688" s="25" t="s">
        <v>3139</v>
      </c>
      <c r="E688" s="25" t="s">
        <v>3145</v>
      </c>
      <c r="F688" s="23">
        <f t="shared" si="42"/>
        <v>1</v>
      </c>
      <c r="G688" s="23">
        <f t="shared" si="43"/>
        <v>1</v>
      </c>
    </row>
    <row r="689" spans="1:7" x14ac:dyDescent="0.35">
      <c r="A689" s="25" t="s">
        <v>529</v>
      </c>
      <c r="B689" s="26" t="s">
        <v>2997</v>
      </c>
      <c r="C689" s="25" t="str">
        <f t="shared" si="41"/>
        <v>Huyện Na Hang - Tuyên Quang</v>
      </c>
      <c r="D689" s="25" t="s">
        <v>3139</v>
      </c>
      <c r="E689" s="25" t="s">
        <v>3145</v>
      </c>
      <c r="F689" s="23">
        <f t="shared" si="42"/>
        <v>1</v>
      </c>
      <c r="G689" s="23">
        <f t="shared" si="43"/>
        <v>1</v>
      </c>
    </row>
    <row r="690" spans="1:7" x14ac:dyDescent="0.35">
      <c r="A690" s="25" t="s">
        <v>529</v>
      </c>
      <c r="B690" s="25" t="s">
        <v>3065</v>
      </c>
      <c r="C690" s="25" t="str">
        <f t="shared" si="41"/>
        <v>Huyện Sơn Dương - Tuyên Quang</v>
      </c>
      <c r="D690" s="25" t="s">
        <v>3139</v>
      </c>
      <c r="E690" s="25" t="s">
        <v>3145</v>
      </c>
      <c r="F690" s="23">
        <f t="shared" si="42"/>
        <v>1</v>
      </c>
      <c r="G690" s="23">
        <f t="shared" si="43"/>
        <v>1</v>
      </c>
    </row>
    <row r="691" spans="1:7" x14ac:dyDescent="0.35">
      <c r="A691" s="25" t="s">
        <v>529</v>
      </c>
      <c r="B691" s="25" t="s">
        <v>2858</v>
      </c>
      <c r="C691" s="25" t="str">
        <f t="shared" si="41"/>
        <v>Huyện Yên Sơn - Tuyên Quang</v>
      </c>
      <c r="D691" s="25" t="s">
        <v>3141</v>
      </c>
      <c r="E691" s="25" t="s">
        <v>3145</v>
      </c>
      <c r="F691" s="23">
        <f t="shared" si="42"/>
        <v>1</v>
      </c>
      <c r="G691" s="23">
        <f t="shared" si="43"/>
        <v>1</v>
      </c>
    </row>
    <row r="692" spans="1:7" x14ac:dyDescent="0.35">
      <c r="A692" s="25" t="s">
        <v>529</v>
      </c>
      <c r="B692" s="25" t="s">
        <v>2366</v>
      </c>
      <c r="C692" s="25" t="str">
        <f t="shared" si="41"/>
        <v>Thành phố Tuyên Quang - Tuyên Quang</v>
      </c>
      <c r="D692" s="25" t="s">
        <v>3142</v>
      </c>
      <c r="E692" s="25" t="s">
        <v>3145</v>
      </c>
      <c r="F692" s="23">
        <f t="shared" si="42"/>
        <v>1</v>
      </c>
      <c r="G692" s="23">
        <f t="shared" si="43"/>
        <v>1</v>
      </c>
    </row>
    <row r="693" spans="1:7" x14ac:dyDescent="0.35">
      <c r="A693" s="25" t="s">
        <v>565</v>
      </c>
      <c r="B693" s="25" t="s">
        <v>2563</v>
      </c>
      <c r="C693" s="25" t="str">
        <f t="shared" si="41"/>
        <v>Huyện Bình Tân - Vĩnh Long</v>
      </c>
      <c r="D693" s="25" t="s">
        <v>3139</v>
      </c>
      <c r="E693" s="25" t="s">
        <v>3140</v>
      </c>
      <c r="F693" s="23">
        <f t="shared" si="42"/>
        <v>1</v>
      </c>
      <c r="G693" s="23">
        <f t="shared" si="43"/>
        <v>1</v>
      </c>
    </row>
    <row r="694" spans="1:7" x14ac:dyDescent="0.35">
      <c r="A694" s="25" t="s">
        <v>565</v>
      </c>
      <c r="B694" s="25" t="s">
        <v>2547</v>
      </c>
      <c r="C694" s="25" t="str">
        <f t="shared" si="41"/>
        <v>Huyện Long Hồ - Vĩnh Long</v>
      </c>
      <c r="D694" s="25" t="s">
        <v>3141</v>
      </c>
      <c r="E694" s="25" t="s">
        <v>3140</v>
      </c>
      <c r="F694" s="23">
        <f t="shared" si="42"/>
        <v>1</v>
      </c>
      <c r="G694" s="23">
        <f t="shared" si="43"/>
        <v>1</v>
      </c>
    </row>
    <row r="695" spans="1:7" x14ac:dyDescent="0.35">
      <c r="A695" s="25" t="s">
        <v>565</v>
      </c>
      <c r="B695" s="25" t="s">
        <v>2565</v>
      </c>
      <c r="C695" s="25" t="str">
        <f t="shared" si="41"/>
        <v>Huyện Mang Thít - Vĩnh Long</v>
      </c>
      <c r="D695" s="25" t="s">
        <v>3141</v>
      </c>
      <c r="E695" s="25" t="s">
        <v>3140</v>
      </c>
      <c r="F695" s="23">
        <f t="shared" si="42"/>
        <v>1</v>
      </c>
      <c r="G695" s="23">
        <f t="shared" si="43"/>
        <v>1</v>
      </c>
    </row>
    <row r="696" spans="1:7" x14ac:dyDescent="0.35">
      <c r="A696" s="25" t="s">
        <v>565</v>
      </c>
      <c r="B696" s="25" t="s">
        <v>2670</v>
      </c>
      <c r="C696" s="25" t="str">
        <f t="shared" si="41"/>
        <v>Huyện Tam Bình - Vĩnh Long</v>
      </c>
      <c r="D696" s="25" t="s">
        <v>3139</v>
      </c>
      <c r="E696" s="25" t="s">
        <v>3140</v>
      </c>
      <c r="F696" s="23">
        <f t="shared" si="42"/>
        <v>1</v>
      </c>
      <c r="G696" s="23">
        <f t="shared" si="43"/>
        <v>1</v>
      </c>
    </row>
    <row r="697" spans="1:7" x14ac:dyDescent="0.35">
      <c r="A697" s="25" t="s">
        <v>565</v>
      </c>
      <c r="B697" s="25" t="s">
        <v>2639</v>
      </c>
      <c r="C697" s="25" t="str">
        <f t="shared" si="41"/>
        <v>Huyện Trà Ôn - Vĩnh Long</v>
      </c>
      <c r="D697" s="25" t="s">
        <v>3139</v>
      </c>
      <c r="E697" s="25" t="s">
        <v>3140</v>
      </c>
      <c r="F697" s="23">
        <f t="shared" si="42"/>
        <v>1</v>
      </c>
      <c r="G697" s="23">
        <f t="shared" si="43"/>
        <v>1</v>
      </c>
    </row>
    <row r="698" spans="1:7" x14ac:dyDescent="0.35">
      <c r="A698" s="25" t="s">
        <v>565</v>
      </c>
      <c r="B698" s="25" t="s">
        <v>2738</v>
      </c>
      <c r="C698" s="25" t="str">
        <f t="shared" si="41"/>
        <v>Huyện Vũng Liêm - Vĩnh Long</v>
      </c>
      <c r="D698" s="25" t="s">
        <v>3139</v>
      </c>
      <c r="E698" s="25" t="s">
        <v>3140</v>
      </c>
      <c r="F698" s="23">
        <f t="shared" si="42"/>
        <v>1</v>
      </c>
      <c r="G698" s="23">
        <f t="shared" si="43"/>
        <v>1</v>
      </c>
    </row>
    <row r="699" spans="1:7" x14ac:dyDescent="0.35">
      <c r="A699" s="25" t="s">
        <v>565</v>
      </c>
      <c r="B699" s="25" t="s">
        <v>2518</v>
      </c>
      <c r="C699" s="25" t="str">
        <f t="shared" si="41"/>
        <v>Thành phố Vĩnh Long - Vĩnh Long</v>
      </c>
      <c r="D699" s="25" t="s">
        <v>3142</v>
      </c>
      <c r="E699" s="25" t="s">
        <v>3140</v>
      </c>
      <c r="F699" s="23">
        <f t="shared" si="42"/>
        <v>1</v>
      </c>
      <c r="G699" s="23">
        <f t="shared" si="43"/>
        <v>1</v>
      </c>
    </row>
    <row r="700" spans="1:7" x14ac:dyDescent="0.35">
      <c r="A700" s="25" t="s">
        <v>565</v>
      </c>
      <c r="B700" s="25" t="s">
        <v>2654</v>
      </c>
      <c r="C700" s="25" t="str">
        <f t="shared" si="41"/>
        <v>Thị xã Bình Minh - Vĩnh Long</v>
      </c>
      <c r="D700" s="25" t="s">
        <v>3139</v>
      </c>
      <c r="E700" s="25" t="s">
        <v>3140</v>
      </c>
      <c r="F700" s="23">
        <f t="shared" si="42"/>
        <v>1</v>
      </c>
      <c r="G700" s="23">
        <f t="shared" si="43"/>
        <v>1</v>
      </c>
    </row>
    <row r="701" spans="1:7" x14ac:dyDescent="0.35">
      <c r="A701" s="25" t="s">
        <v>533</v>
      </c>
      <c r="B701" s="25" t="s">
        <v>2838</v>
      </c>
      <c r="C701" s="25" t="str">
        <f t="shared" si="41"/>
        <v>Huyện Bình Xuyên - Vĩnh Phúc</v>
      </c>
      <c r="D701" s="25" t="s">
        <v>3141</v>
      </c>
      <c r="E701" s="25" t="s">
        <v>3145</v>
      </c>
      <c r="F701" s="23">
        <f t="shared" si="42"/>
        <v>1</v>
      </c>
      <c r="G701" s="23">
        <f t="shared" si="43"/>
        <v>1</v>
      </c>
    </row>
    <row r="702" spans="1:7" x14ac:dyDescent="0.35">
      <c r="A702" s="25" t="s">
        <v>533</v>
      </c>
      <c r="B702" s="25" t="s">
        <v>3005</v>
      </c>
      <c r="C702" s="25" t="str">
        <f t="shared" si="41"/>
        <v>Huyện Lập Thạch - Vĩnh Phúc</v>
      </c>
      <c r="D702" s="25" t="s">
        <v>3139</v>
      </c>
      <c r="E702" s="25" t="s">
        <v>3145</v>
      </c>
      <c r="F702" s="23">
        <f t="shared" si="42"/>
        <v>1</v>
      </c>
      <c r="G702" s="23">
        <f t="shared" si="43"/>
        <v>1</v>
      </c>
    </row>
    <row r="703" spans="1:7" x14ac:dyDescent="0.35">
      <c r="A703" s="25" t="s">
        <v>533</v>
      </c>
      <c r="B703" s="25" t="s">
        <v>3040</v>
      </c>
      <c r="C703" s="25" t="str">
        <f t="shared" si="41"/>
        <v>Huyện Sông Lô - Vĩnh Phúc</v>
      </c>
      <c r="D703" s="25" t="s">
        <v>3139</v>
      </c>
      <c r="E703" s="25" t="s">
        <v>3145</v>
      </c>
      <c r="F703" s="23">
        <f t="shared" si="42"/>
        <v>1</v>
      </c>
      <c r="G703" s="23">
        <f t="shared" si="43"/>
        <v>1</v>
      </c>
    </row>
    <row r="704" spans="1:7" x14ac:dyDescent="0.35">
      <c r="A704" s="25" t="s">
        <v>533</v>
      </c>
      <c r="B704" s="25" t="s">
        <v>2890</v>
      </c>
      <c r="C704" s="25" t="str">
        <f t="shared" si="41"/>
        <v>Huyện Tam Đảo - Vĩnh Phúc</v>
      </c>
      <c r="D704" s="25" t="s">
        <v>3141</v>
      </c>
      <c r="E704" s="25" t="s">
        <v>3145</v>
      </c>
      <c r="F704" s="23">
        <f t="shared" si="42"/>
        <v>1</v>
      </c>
      <c r="G704" s="23">
        <f t="shared" si="43"/>
        <v>1</v>
      </c>
    </row>
    <row r="705" spans="1:7" x14ac:dyDescent="0.35">
      <c r="A705" s="25" t="s">
        <v>533</v>
      </c>
      <c r="B705" s="25" t="s">
        <v>2869</v>
      </c>
      <c r="C705" s="25" t="str">
        <f t="shared" si="41"/>
        <v>Huyện Tam Dương - Vĩnh Phúc</v>
      </c>
      <c r="D705" s="25" t="s">
        <v>3141</v>
      </c>
      <c r="E705" s="25" t="s">
        <v>3145</v>
      </c>
      <c r="F705" s="23">
        <f t="shared" si="42"/>
        <v>1</v>
      </c>
      <c r="G705" s="23">
        <f t="shared" si="43"/>
        <v>1</v>
      </c>
    </row>
    <row r="706" spans="1:7" x14ac:dyDescent="0.35">
      <c r="A706" s="25" t="s">
        <v>533</v>
      </c>
      <c r="B706" s="25" t="s">
        <v>2852</v>
      </c>
      <c r="C706" s="25" t="str">
        <f t="shared" si="41"/>
        <v>Huyện Vĩnh Tường - Vĩnh Phúc</v>
      </c>
      <c r="D706" s="25" t="s">
        <v>3141</v>
      </c>
      <c r="E706" s="25" t="s">
        <v>3145</v>
      </c>
      <c r="F706" s="23">
        <f t="shared" si="42"/>
        <v>1</v>
      </c>
      <c r="G706" s="23">
        <f t="shared" si="43"/>
        <v>1</v>
      </c>
    </row>
    <row r="707" spans="1:7" x14ac:dyDescent="0.35">
      <c r="A707" s="25" t="s">
        <v>533</v>
      </c>
      <c r="B707" s="25" t="s">
        <v>2856</v>
      </c>
      <c r="C707" s="25" t="str">
        <f t="shared" si="41"/>
        <v>Huyện Yên Lạc - Vĩnh Phúc</v>
      </c>
      <c r="D707" s="25" t="s">
        <v>3141</v>
      </c>
      <c r="E707" s="25" t="s">
        <v>3145</v>
      </c>
      <c r="F707" s="23">
        <f t="shared" si="42"/>
        <v>1</v>
      </c>
      <c r="G707" s="23">
        <f t="shared" si="43"/>
        <v>1</v>
      </c>
    </row>
    <row r="708" spans="1:7" x14ac:dyDescent="0.35">
      <c r="A708" s="25" t="s">
        <v>533</v>
      </c>
      <c r="B708" s="25" t="s">
        <v>2833</v>
      </c>
      <c r="C708" s="25" t="str">
        <f t="shared" si="41"/>
        <v>Thành phố Vĩnh Yên - Vĩnh Phúc</v>
      </c>
      <c r="D708" s="25" t="s">
        <v>3142</v>
      </c>
      <c r="E708" s="25" t="s">
        <v>3145</v>
      </c>
      <c r="F708" s="23">
        <f t="shared" si="42"/>
        <v>1</v>
      </c>
      <c r="G708" s="23">
        <f t="shared" si="43"/>
        <v>1</v>
      </c>
    </row>
    <row r="709" spans="1:7" x14ac:dyDescent="0.35">
      <c r="A709" s="25" t="s">
        <v>533</v>
      </c>
      <c r="B709" s="25" t="s">
        <v>2868</v>
      </c>
      <c r="C709" s="25" t="str">
        <f t="shared" si="41"/>
        <v>Thị xã Phúc Yên - Vĩnh Phúc</v>
      </c>
      <c r="D709" s="25" t="s">
        <v>3141</v>
      </c>
      <c r="E709" s="25" t="s">
        <v>3145</v>
      </c>
      <c r="F709" s="23">
        <f t="shared" si="42"/>
        <v>1</v>
      </c>
      <c r="G709" s="23">
        <f t="shared" si="43"/>
        <v>1</v>
      </c>
    </row>
    <row r="710" spans="1:7" x14ac:dyDescent="0.35">
      <c r="A710" s="25" t="s">
        <v>534</v>
      </c>
      <c r="B710" s="25" t="s">
        <v>2978</v>
      </c>
      <c r="C710" s="25" t="str">
        <f t="shared" si="41"/>
        <v>Huyện Lục Yên - Yên Bái</v>
      </c>
      <c r="D710" s="25" t="s">
        <v>3139</v>
      </c>
      <c r="E710" s="25" t="s">
        <v>3145</v>
      </c>
      <c r="F710" s="23">
        <f t="shared" si="42"/>
        <v>1</v>
      </c>
      <c r="G710" s="23">
        <f t="shared" si="43"/>
        <v>1</v>
      </c>
    </row>
    <row r="711" spans="1:7" x14ac:dyDescent="0.35">
      <c r="A711" s="25" t="s">
        <v>534</v>
      </c>
      <c r="B711" s="26" t="s">
        <v>2993</v>
      </c>
      <c r="C711" s="25" t="str">
        <f t="shared" ref="C711:C718" si="44">B711&amp;" - "&amp;A711</f>
        <v>Huyện Mù Cang Chải - Yên Bái</v>
      </c>
      <c r="D711" s="25" t="s">
        <v>3139</v>
      </c>
      <c r="E711" s="25" t="s">
        <v>3145</v>
      </c>
      <c r="F711" s="23">
        <f t="shared" si="42"/>
        <v>1</v>
      </c>
      <c r="G711" s="23">
        <f t="shared" si="43"/>
        <v>1</v>
      </c>
    </row>
    <row r="712" spans="1:7" x14ac:dyDescent="0.35">
      <c r="A712" s="25" t="s">
        <v>534</v>
      </c>
      <c r="B712" s="25" t="s">
        <v>3044</v>
      </c>
      <c r="C712" s="25" t="str">
        <f t="shared" si="44"/>
        <v>Huyện Trạm Tấu - Yên Bái</v>
      </c>
      <c r="D712" s="25" t="s">
        <v>3139</v>
      </c>
      <c r="E712" s="25" t="s">
        <v>3145</v>
      </c>
      <c r="F712" s="23">
        <f t="shared" si="42"/>
        <v>1</v>
      </c>
      <c r="G712" s="23">
        <f t="shared" si="43"/>
        <v>1</v>
      </c>
    </row>
    <row r="713" spans="1:7" x14ac:dyDescent="0.35">
      <c r="A713" s="25" t="s">
        <v>534</v>
      </c>
      <c r="B713" s="25" t="s">
        <v>2894</v>
      </c>
      <c r="C713" s="25" t="str">
        <f t="shared" si="44"/>
        <v>Huyện Trấn Yên - Yên Bái</v>
      </c>
      <c r="D713" s="25" t="s">
        <v>3141</v>
      </c>
      <c r="E713" s="25" t="s">
        <v>3145</v>
      </c>
      <c r="F713" s="23">
        <f t="shared" si="42"/>
        <v>1</v>
      </c>
      <c r="G713" s="23">
        <f t="shared" si="43"/>
        <v>1</v>
      </c>
    </row>
    <row r="714" spans="1:7" x14ac:dyDescent="0.35">
      <c r="A714" s="25" t="s">
        <v>534</v>
      </c>
      <c r="B714" s="25" t="s">
        <v>2985</v>
      </c>
      <c r="C714" s="25" t="str">
        <f t="shared" si="44"/>
        <v>Huyện Văn Chấn - Yên Bái</v>
      </c>
      <c r="D714" s="25" t="s">
        <v>3139</v>
      </c>
      <c r="E714" s="25" t="s">
        <v>3145</v>
      </c>
      <c r="F714" s="23">
        <f t="shared" si="42"/>
        <v>1</v>
      </c>
      <c r="G714" s="23">
        <f t="shared" si="43"/>
        <v>1</v>
      </c>
    </row>
    <row r="715" spans="1:7" x14ac:dyDescent="0.35">
      <c r="A715" s="25" t="s">
        <v>534</v>
      </c>
      <c r="B715" s="25" t="s">
        <v>3008</v>
      </c>
      <c r="C715" s="25" t="str">
        <f t="shared" si="44"/>
        <v>Huyện Văn Yên - Yên Bái</v>
      </c>
      <c r="D715" s="25" t="s">
        <v>3139</v>
      </c>
      <c r="E715" s="25" t="s">
        <v>3145</v>
      </c>
      <c r="F715" s="23">
        <f t="shared" si="42"/>
        <v>1</v>
      </c>
      <c r="G715" s="23">
        <f t="shared" si="43"/>
        <v>1</v>
      </c>
    </row>
    <row r="716" spans="1:7" x14ac:dyDescent="0.35">
      <c r="A716" s="25" t="s">
        <v>534</v>
      </c>
      <c r="B716" s="25" t="s">
        <v>3045</v>
      </c>
      <c r="C716" s="25" t="str">
        <f t="shared" si="44"/>
        <v>Huyện Yên Bình - Yên Bái</v>
      </c>
      <c r="D716" s="25" t="s">
        <v>3139</v>
      </c>
      <c r="E716" s="25" t="s">
        <v>3145</v>
      </c>
      <c r="F716" s="23">
        <f t="shared" si="42"/>
        <v>1</v>
      </c>
      <c r="G716" s="23">
        <f t="shared" si="43"/>
        <v>1</v>
      </c>
    </row>
    <row r="717" spans="1:7" x14ac:dyDescent="0.35">
      <c r="A717" s="25" t="s">
        <v>534</v>
      </c>
      <c r="B717" s="25" t="s">
        <v>2834</v>
      </c>
      <c r="C717" s="25" t="str">
        <f t="shared" si="44"/>
        <v>Thành phố Yên Bái - Yên Bái</v>
      </c>
      <c r="D717" s="25" t="s">
        <v>3142</v>
      </c>
      <c r="E717" s="25" t="s">
        <v>3145</v>
      </c>
      <c r="F717" s="23">
        <f t="shared" si="42"/>
        <v>1</v>
      </c>
      <c r="G717" s="23">
        <f t="shared" si="43"/>
        <v>1</v>
      </c>
    </row>
    <row r="718" spans="1:7" x14ac:dyDescent="0.35">
      <c r="A718" s="25" t="s">
        <v>534</v>
      </c>
      <c r="B718" s="25" t="s">
        <v>2961</v>
      </c>
      <c r="C718" s="25" t="str">
        <f t="shared" si="44"/>
        <v>Thị xã Nghĩa Lộ - Yên Bái</v>
      </c>
      <c r="D718" s="25" t="s">
        <v>3139</v>
      </c>
      <c r="E718" s="25" t="s">
        <v>3145</v>
      </c>
      <c r="F718" s="23">
        <f t="shared" si="42"/>
        <v>1</v>
      </c>
      <c r="G718" s="23">
        <f t="shared" si="43"/>
        <v>1</v>
      </c>
    </row>
    <row r="730" spans="1:7" x14ac:dyDescent="0.35">
      <c r="A730" s="25" t="s">
        <v>500</v>
      </c>
      <c r="B730" s="26" t="s">
        <v>2418</v>
      </c>
      <c r="C730" s="25" t="str">
        <f t="shared" ref="C730:C731" si="45">B730&amp;" - "&amp;A730</f>
        <v>Quận Nam Từ Liêm - Hà Nội</v>
      </c>
      <c r="D730" s="25" t="s">
        <v>3141</v>
      </c>
      <c r="E730" s="25" t="s">
        <v>3145</v>
      </c>
      <c r="F730" s="23">
        <f>COUNTIF($B:$B,B730)</f>
        <v>1</v>
      </c>
      <c r="G730" s="23">
        <f>COUNTIF($C:$C,C730)</f>
        <v>1</v>
      </c>
    </row>
    <row r="731" spans="1:7" x14ac:dyDescent="0.35">
      <c r="A731" s="25" t="s">
        <v>500</v>
      </c>
      <c r="B731" s="26" t="s">
        <v>2417</v>
      </c>
      <c r="C731" s="25" t="str">
        <f t="shared" si="45"/>
        <v>Quận Bắc Từ Liêm - Hà Nội</v>
      </c>
      <c r="D731" s="25" t="s">
        <v>3141</v>
      </c>
      <c r="E731" s="25" t="s">
        <v>3145</v>
      </c>
      <c r="F731" s="23">
        <f>COUNTIF($B:$B,B731)</f>
        <v>1</v>
      </c>
      <c r="G731" s="23">
        <f>COUNTIF($C:$C,C731)</f>
        <v>1</v>
      </c>
    </row>
  </sheetData>
  <autoFilter ref="A1:G731" xr:uid="{00000000-0009-0000-0000-000003000000}"/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3"/>
  <sheetViews>
    <sheetView workbookViewId="0">
      <selection activeCell="S17" sqref="S17"/>
    </sheetView>
  </sheetViews>
  <sheetFormatPr defaultRowHeight="14.5" x14ac:dyDescent="0.35"/>
  <sheetData>
    <row r="1" spans="1:42" s="13" customFormat="1" ht="34.5" x14ac:dyDescent="0.25">
      <c r="A1" s="7" t="s">
        <v>469</v>
      </c>
      <c r="B1" s="8" t="s">
        <v>1</v>
      </c>
      <c r="C1" s="9" t="s">
        <v>758</v>
      </c>
      <c r="D1" s="9" t="s">
        <v>809</v>
      </c>
      <c r="E1" s="9" t="s">
        <v>757</v>
      </c>
      <c r="F1" s="3" t="s">
        <v>3</v>
      </c>
      <c r="G1" s="3" t="s">
        <v>4</v>
      </c>
      <c r="H1" s="8" t="s">
        <v>470</v>
      </c>
      <c r="I1" s="8" t="s">
        <v>471</v>
      </c>
      <c r="J1" s="8" t="s">
        <v>8</v>
      </c>
      <c r="K1" s="3" t="s">
        <v>2</v>
      </c>
      <c r="L1" s="3" t="s">
        <v>9</v>
      </c>
      <c r="M1" s="3" t="s">
        <v>5</v>
      </c>
      <c r="N1" s="3" t="s">
        <v>766</v>
      </c>
      <c r="O1" s="3" t="s">
        <v>6</v>
      </c>
      <c r="P1" s="3" t="s">
        <v>7</v>
      </c>
      <c r="Q1" s="3" t="s">
        <v>0</v>
      </c>
      <c r="R1" s="3" t="s">
        <v>10</v>
      </c>
      <c r="S1" s="3" t="s">
        <v>132</v>
      </c>
      <c r="T1" s="2" t="s">
        <v>492</v>
      </c>
      <c r="U1" s="2" t="s">
        <v>752</v>
      </c>
      <c r="V1" s="2" t="s">
        <v>753</v>
      </c>
      <c r="W1" s="2" t="s">
        <v>498</v>
      </c>
      <c r="X1" s="2" t="s">
        <v>768</v>
      </c>
      <c r="Y1" s="2" t="s">
        <v>497</v>
      </c>
      <c r="Z1" s="3" t="s">
        <v>794</v>
      </c>
      <c r="AA1" s="3" t="s">
        <v>791</v>
      </c>
      <c r="AB1" s="3" t="s">
        <v>773</v>
      </c>
      <c r="AC1" s="10" t="s">
        <v>762</v>
      </c>
      <c r="AD1" s="10" t="s">
        <v>808</v>
      </c>
      <c r="AE1" s="11" t="s">
        <v>769</v>
      </c>
      <c r="AF1" s="11" t="s">
        <v>770</v>
      </c>
      <c r="AG1" s="12" t="s">
        <v>771</v>
      </c>
      <c r="AH1" s="4" t="s">
        <v>492</v>
      </c>
      <c r="AI1" s="4" t="s">
        <v>764</v>
      </c>
      <c r="AJ1" s="4" t="s">
        <v>496</v>
      </c>
      <c r="AK1" s="4" t="s">
        <v>765</v>
      </c>
      <c r="AL1" s="4" t="s">
        <v>772</v>
      </c>
      <c r="AM1" s="4" t="s">
        <v>497</v>
      </c>
      <c r="AN1" s="4" t="s">
        <v>754</v>
      </c>
      <c r="AO1" s="5" t="s">
        <v>762</v>
      </c>
      <c r="AP1" s="6" t="s">
        <v>763</v>
      </c>
    </row>
    <row r="2" spans="1:42" s="1" customFormat="1" ht="11.5" x14ac:dyDescent="0.25">
      <c r="A2" s="14">
        <v>29052</v>
      </c>
      <c r="B2" s="15">
        <v>43939.616539351853</v>
      </c>
      <c r="C2" s="16">
        <v>31421781764802</v>
      </c>
      <c r="D2" s="16" t="s">
        <v>815</v>
      </c>
      <c r="E2" s="16" t="s">
        <v>816</v>
      </c>
      <c r="F2" s="17" t="s">
        <v>760</v>
      </c>
      <c r="G2" s="17" t="s">
        <v>814</v>
      </c>
      <c r="H2" s="15">
        <v>43943.701666666668</v>
      </c>
      <c r="I2" s="15">
        <v>43939.820462962962</v>
      </c>
      <c r="J2" s="15"/>
      <c r="K2" s="17">
        <v>0</v>
      </c>
      <c r="L2" s="17"/>
      <c r="M2" s="17" t="s">
        <v>119</v>
      </c>
      <c r="N2" s="17" t="s">
        <v>817</v>
      </c>
      <c r="O2" s="17" t="s">
        <v>616</v>
      </c>
      <c r="P2" s="17" t="s">
        <v>756</v>
      </c>
      <c r="Q2" s="17" t="s">
        <v>807</v>
      </c>
      <c r="R2" s="17">
        <v>200</v>
      </c>
      <c r="S2" s="17">
        <v>200</v>
      </c>
      <c r="T2" s="18">
        <f>MAX(R2,S2)</f>
        <v>200</v>
      </c>
      <c r="U2" s="19">
        <f>INT(IF(T2&lt;=3000,0,IF(MOD(((T2-1000)/1000)/0.5,1)&gt;0,INT(T2-3000)/1000*2+1,INT(T2-3000)/1000*2)))</f>
        <v>0</v>
      </c>
      <c r="V2" s="18" t="e">
        <f>VLOOKUP(O2,#REF!,VLOOKUP(T2/1000,#REF!,2,TRUE),FALSE)+MAX(0,ROUNDUP(T2/1000*2,0)/2-3)*2*VLOOKUP(O2,#REF!,10,FALSE)</f>
        <v>#REF!</v>
      </c>
      <c r="W2" s="19">
        <f>IF(LEFT(M2,3)="Trả",VLOOKUP(P2,#REF!,11,0),0)</f>
        <v>0</v>
      </c>
      <c r="X2" s="19">
        <f>IF(AND(N2="1327 - Kho Khách hàng lớn Hồ Chí Minh 01",OR(AA2="Khu vực 3", AA2="Hà Nội")),MAX(0,ROUNDUP(T2/1000,0))*VLOOKUP(P2,#REF!,12,0),0)</f>
        <v>0</v>
      </c>
      <c r="Y2" s="19" t="e">
        <f>SUM(V2:X2)</f>
        <v>#REF!</v>
      </c>
      <c r="Z2" s="17" t="s">
        <v>805</v>
      </c>
      <c r="AA2" s="20" t="s">
        <v>507</v>
      </c>
      <c r="AB2" s="21">
        <v>39600</v>
      </c>
      <c r="AC2" s="21"/>
      <c r="AD2" s="21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22"/>
    </row>
    <row r="3" spans="1:42" s="1" customFormat="1" ht="11.5" x14ac:dyDescent="0.25">
      <c r="A3" s="14">
        <v>29053</v>
      </c>
      <c r="B3" s="15">
        <v>43945.696400462963</v>
      </c>
      <c r="C3" s="16">
        <v>31421781549376</v>
      </c>
      <c r="D3" s="16" t="s">
        <v>815</v>
      </c>
      <c r="E3" s="16" t="s">
        <v>818</v>
      </c>
      <c r="F3" s="17" t="s">
        <v>760</v>
      </c>
      <c r="G3" s="17" t="s">
        <v>814</v>
      </c>
      <c r="H3" s="15">
        <v>43949.741736111115</v>
      </c>
      <c r="I3" s="15">
        <v>43946.695474537039</v>
      </c>
      <c r="J3" s="15"/>
      <c r="K3" s="17">
        <v>0</v>
      </c>
      <c r="L3" s="17"/>
      <c r="M3" s="17" t="s">
        <v>119</v>
      </c>
      <c r="N3" s="17" t="s">
        <v>819</v>
      </c>
      <c r="O3" s="17" t="s">
        <v>321</v>
      </c>
      <c r="P3" s="17" t="s">
        <v>756</v>
      </c>
      <c r="Q3" s="17" t="s">
        <v>807</v>
      </c>
      <c r="R3" s="17">
        <v>500</v>
      </c>
      <c r="S3" s="17">
        <v>200</v>
      </c>
      <c r="T3" s="18">
        <f>MAX(R3,S3)</f>
        <v>500</v>
      </c>
      <c r="U3" s="19">
        <f>INT(IF(T3&lt;=3000,0,IF(MOD(((T3-1000)/1000)/0.5,1)&gt;0,INT(T3-3000)/1000*2+1,INT(T3-3000)/1000*2)))</f>
        <v>0</v>
      </c>
      <c r="V3" s="18" t="e">
        <f>VLOOKUP(O3,#REF!,VLOOKUP(T3/1000,#REF!,2,TRUE),FALSE)+MAX(0,ROUNDUP(T3/1000*2,0)/2-3)*2*VLOOKUP(O3,#REF!,10,FALSE)</f>
        <v>#REF!</v>
      </c>
      <c r="W3" s="19">
        <f>IF(LEFT(M3,3)="Trả",VLOOKUP(P3,#REF!,11,0),0)</f>
        <v>0</v>
      </c>
      <c r="X3" s="19">
        <f>IF(AND(N3="1327 - Kho Khách hàng lớn Hồ Chí Minh 01",OR(AA3="Khu vực 3", AA3="Hà Nội")),MAX(0,ROUNDUP(T3/1000,0))*VLOOKUP(P3,#REF!,12,0),0)</f>
        <v>0</v>
      </c>
      <c r="Y3" s="19" t="e">
        <f>SUM(V3:X3)</f>
        <v>#REF!</v>
      </c>
      <c r="Z3" s="17" t="s">
        <v>805</v>
      </c>
      <c r="AA3" s="20" t="s">
        <v>507</v>
      </c>
      <c r="AB3" s="21">
        <v>39600</v>
      </c>
      <c r="AC3" s="21"/>
      <c r="AD3" s="21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AUGUST</vt:lpstr>
      <vt:lpstr>Bảng giá </vt:lpstr>
      <vt:lpstr>check</vt:lpstr>
      <vt:lpstr>mapping 1</vt:lpstr>
      <vt:lpstr>Sheet1</vt:lpstr>
    </vt:vector>
  </TitlesOfParts>
  <Company>Sky123.Org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Nga Nguyễn Thanh</cp:lastModifiedBy>
  <cp:lastPrinted>2019-09-30T02:42:45Z</cp:lastPrinted>
  <dcterms:created xsi:type="dcterms:W3CDTF">2014-06-14T05:41:01Z</dcterms:created>
  <dcterms:modified xsi:type="dcterms:W3CDTF">2023-11-29T10:44:59Z</dcterms:modified>
</cp:coreProperties>
</file>